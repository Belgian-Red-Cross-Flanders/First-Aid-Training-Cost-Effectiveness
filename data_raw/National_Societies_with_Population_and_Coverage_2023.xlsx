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CASTRO\Documents\GitHub\First Aid\data_raw\"/>
    </mc:Choice>
  </mc:AlternateContent>
  <xr:revisionPtr revIDLastSave="0" documentId="13_ncr:1_{1EC3944E-4F13-428A-B464-E5955A2E44B4}" xr6:coauthVersionLast="47" xr6:coauthVersionMax="47" xr10:uidLastSave="{00000000-0000-0000-0000-000000000000}"/>
  <bookViews>
    <workbookView xWindow="0" yWindow="360" windowWidth="19360" windowHeight="11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J169" i="1"/>
  <c r="J20" i="1"/>
  <c r="J159" i="1"/>
  <c r="J29" i="1"/>
  <c r="J2" i="1"/>
  <c r="J181" i="1"/>
  <c r="J60" i="1"/>
  <c r="J111" i="1"/>
  <c r="J84" i="1"/>
  <c r="J69" i="1"/>
  <c r="J16" i="1"/>
  <c r="J146" i="1"/>
  <c r="J137" i="1"/>
  <c r="J99" i="1"/>
  <c r="J72" i="1"/>
  <c r="J40" i="1"/>
  <c r="J64" i="1"/>
  <c r="J83" i="1"/>
  <c r="J161" i="1"/>
  <c r="J107" i="1"/>
  <c r="J179" i="1"/>
  <c r="J73" i="1"/>
  <c r="J36" i="1"/>
  <c r="J156" i="1"/>
  <c r="J93" i="1"/>
  <c r="J96" i="1"/>
  <c r="J139" i="1"/>
  <c r="J26" i="1"/>
  <c r="J89" i="1"/>
  <c r="J144" i="1"/>
  <c r="J110" i="1"/>
  <c r="J157" i="1"/>
  <c r="J3" i="1"/>
  <c r="J124" i="1"/>
  <c r="J19" i="1"/>
  <c r="J37" i="1"/>
  <c r="J106" i="1"/>
  <c r="J47" i="1"/>
  <c r="J42" i="1"/>
  <c r="J4" i="1"/>
  <c r="J143" i="1"/>
  <c r="J115" i="1"/>
  <c r="J150" i="1"/>
  <c r="J28" i="1"/>
  <c r="J171" i="1"/>
  <c r="J59" i="1"/>
  <c r="J22" i="1"/>
  <c r="J86" i="1"/>
  <c r="J141" i="1"/>
  <c r="J50" i="1"/>
  <c r="J21" i="1"/>
  <c r="J151" i="1"/>
  <c r="J82" i="1"/>
  <c r="J168" i="1"/>
  <c r="J109" i="1"/>
  <c r="J54" i="1"/>
  <c r="J125" i="1"/>
  <c r="J38" i="1"/>
  <c r="J17" i="1"/>
  <c r="J163" i="1"/>
  <c r="J33" i="1"/>
  <c r="J122" i="1"/>
  <c r="J105" i="1"/>
  <c r="J113" i="1"/>
  <c r="J55" i="1"/>
  <c r="J174" i="1"/>
  <c r="J131" i="1"/>
  <c r="J34" i="1"/>
  <c r="J129" i="1"/>
  <c r="J58" i="1"/>
  <c r="J71" i="1"/>
  <c r="J114" i="1"/>
  <c r="J160" i="1"/>
  <c r="J127" i="1"/>
  <c r="J5" i="1"/>
  <c r="J32" i="1"/>
  <c r="J52" i="1"/>
  <c r="J15" i="1"/>
  <c r="J166" i="1"/>
  <c r="J120" i="1"/>
  <c r="J133" i="1"/>
  <c r="J75" i="1"/>
  <c r="J178" i="1"/>
  <c r="J45" i="1"/>
  <c r="J6" i="1"/>
  <c r="J152" i="1"/>
  <c r="J117" i="1"/>
  <c r="J116" i="1"/>
  <c r="J85" i="1"/>
  <c r="J39" i="1"/>
  <c r="J100" i="1"/>
  <c r="J172" i="1"/>
  <c r="J101" i="1"/>
  <c r="J165" i="1"/>
  <c r="J142" i="1"/>
  <c r="J30" i="1"/>
  <c r="J170" i="1"/>
  <c r="J167" i="1"/>
  <c r="J7" i="1"/>
  <c r="J70" i="1"/>
  <c r="J153" i="1"/>
  <c r="J112" i="1"/>
  <c r="J81" i="1"/>
  <c r="J103" i="1"/>
  <c r="J91" i="1"/>
  <c r="J102" i="1"/>
  <c r="J140" i="1"/>
  <c r="J145" i="1"/>
  <c r="J44" i="1"/>
  <c r="J175" i="1"/>
  <c r="J23" i="1"/>
  <c r="J87" i="1"/>
  <c r="J104" i="1"/>
  <c r="J108" i="1"/>
  <c r="J158" i="1"/>
  <c r="J138" i="1"/>
  <c r="J13" i="1"/>
  <c r="J35" i="1"/>
  <c r="J49" i="1"/>
  <c r="J80" i="1"/>
  <c r="J25" i="1"/>
  <c r="J8" i="1"/>
  <c r="J27" i="1"/>
  <c r="J61" i="1"/>
  <c r="J164" i="1"/>
  <c r="J74" i="1"/>
  <c r="J128" i="1"/>
  <c r="J121" i="1"/>
  <c r="J118" i="1"/>
  <c r="J56" i="1"/>
  <c r="J68" i="1"/>
  <c r="J9" i="1"/>
  <c r="J63" i="1"/>
  <c r="J51" i="1"/>
  <c r="J95" i="1"/>
  <c r="J10" i="1"/>
  <c r="J62" i="1"/>
  <c r="J53" i="1"/>
  <c r="J11" i="1"/>
  <c r="J14" i="1"/>
  <c r="J176" i="1"/>
  <c r="J76" i="1"/>
  <c r="J177" i="1"/>
  <c r="J136" i="1"/>
  <c r="J67" i="1"/>
  <c r="J41" i="1"/>
  <c r="J24" i="1"/>
  <c r="J134" i="1"/>
  <c r="J135" i="1"/>
  <c r="J97" i="1"/>
  <c r="J90" i="1"/>
  <c r="J78" i="1"/>
  <c r="J79" i="1"/>
  <c r="J65" i="1"/>
  <c r="J31" i="1"/>
  <c r="J149" i="1"/>
  <c r="J180" i="1"/>
  <c r="J123" i="1"/>
  <c r="J88" i="1"/>
  <c r="J66" i="1"/>
  <c r="J126" i="1"/>
  <c r="J57" i="1"/>
  <c r="J46" i="1"/>
  <c r="J94" i="1"/>
  <c r="J155" i="1"/>
  <c r="J98" i="1"/>
  <c r="J119" i="1"/>
  <c r="J148" i="1"/>
  <c r="J43" i="1"/>
  <c r="J18" i="1"/>
  <c r="J12" i="1"/>
  <c r="J162" i="1"/>
  <c r="J48" i="1"/>
  <c r="J132" i="1"/>
  <c r="J130" i="1"/>
  <c r="J147" i="1"/>
  <c r="J92" i="1"/>
  <c r="J173" i="1"/>
  <c r="J154" i="1"/>
  <c r="J77" i="1"/>
  <c r="I169" i="1"/>
  <c r="I20" i="1"/>
  <c r="I159" i="1"/>
  <c r="I29" i="1"/>
  <c r="I2" i="1"/>
  <c r="I181" i="1"/>
  <c r="I60" i="1"/>
  <c r="I111" i="1"/>
  <c r="I84" i="1"/>
  <c r="I69" i="1"/>
  <c r="I16" i="1"/>
  <c r="I146" i="1"/>
  <c r="I137" i="1"/>
  <c r="I99" i="1"/>
  <c r="I72" i="1"/>
  <c r="I40" i="1"/>
  <c r="I64" i="1"/>
  <c r="I83" i="1"/>
  <c r="I161" i="1"/>
  <c r="I107" i="1"/>
  <c r="I179" i="1"/>
  <c r="I73" i="1"/>
  <c r="I36" i="1"/>
  <c r="I156" i="1"/>
  <c r="I93" i="1"/>
  <c r="I96" i="1"/>
  <c r="I139" i="1"/>
  <c r="I26" i="1"/>
  <c r="I89" i="1"/>
  <c r="I144" i="1"/>
  <c r="I110" i="1"/>
  <c r="I157" i="1"/>
  <c r="I3" i="1"/>
  <c r="I124" i="1"/>
  <c r="I19" i="1"/>
  <c r="I37" i="1"/>
  <c r="I106" i="1"/>
  <c r="I47" i="1"/>
  <c r="I42" i="1"/>
  <c r="I4" i="1"/>
  <c r="I143" i="1"/>
  <c r="I115" i="1"/>
  <c r="I150" i="1"/>
  <c r="I28" i="1"/>
  <c r="I171" i="1"/>
  <c r="I59" i="1"/>
  <c r="I22" i="1"/>
  <c r="I86" i="1"/>
  <c r="I141" i="1"/>
  <c r="I50" i="1"/>
  <c r="I21" i="1"/>
  <c r="I151" i="1"/>
  <c r="I82" i="1"/>
  <c r="I168" i="1"/>
  <c r="I109" i="1"/>
  <c r="I54" i="1"/>
  <c r="I125" i="1"/>
  <c r="I38" i="1"/>
  <c r="I17" i="1"/>
  <c r="I163" i="1"/>
  <c r="I33" i="1"/>
  <c r="I122" i="1"/>
  <c r="I105" i="1"/>
  <c r="I113" i="1"/>
  <c r="I55" i="1"/>
  <c r="I174" i="1"/>
  <c r="I131" i="1"/>
  <c r="I34" i="1"/>
  <c r="I129" i="1"/>
  <c r="I58" i="1"/>
  <c r="I71" i="1"/>
  <c r="I114" i="1"/>
  <c r="I160" i="1"/>
  <c r="I127" i="1"/>
  <c r="I5" i="1"/>
  <c r="I32" i="1"/>
  <c r="I52" i="1"/>
  <c r="I15" i="1"/>
  <c r="I166" i="1"/>
  <c r="I120" i="1"/>
  <c r="I133" i="1"/>
  <c r="I75" i="1"/>
  <c r="I178" i="1"/>
  <c r="I45" i="1"/>
  <c r="I6" i="1"/>
  <c r="I152" i="1"/>
  <c r="I117" i="1"/>
  <c r="I116" i="1"/>
  <c r="I85" i="1"/>
  <c r="I39" i="1"/>
  <c r="I100" i="1"/>
  <c r="I172" i="1"/>
  <c r="I101" i="1"/>
  <c r="I165" i="1"/>
  <c r="I142" i="1"/>
  <c r="I30" i="1"/>
  <c r="I170" i="1"/>
  <c r="I167" i="1"/>
  <c r="I7" i="1"/>
  <c r="I70" i="1"/>
  <c r="I153" i="1"/>
  <c r="I112" i="1"/>
  <c r="I81" i="1"/>
  <c r="I103" i="1"/>
  <c r="I91" i="1"/>
  <c r="I102" i="1"/>
  <c r="I140" i="1"/>
  <c r="I145" i="1"/>
  <c r="I44" i="1"/>
  <c r="I175" i="1"/>
  <c r="I23" i="1"/>
  <c r="I87" i="1"/>
  <c r="I104" i="1"/>
  <c r="I108" i="1"/>
  <c r="I158" i="1"/>
  <c r="I138" i="1"/>
  <c r="I13" i="1"/>
  <c r="I35" i="1"/>
  <c r="I49" i="1"/>
  <c r="I80" i="1"/>
  <c r="I25" i="1"/>
  <c r="I8" i="1"/>
  <c r="I27" i="1"/>
  <c r="I61" i="1"/>
  <c r="I164" i="1"/>
  <c r="I74" i="1"/>
  <c r="I128" i="1"/>
  <c r="I121" i="1"/>
  <c r="I118" i="1"/>
  <c r="I56" i="1"/>
  <c r="I68" i="1"/>
  <c r="I9" i="1"/>
  <c r="I63" i="1"/>
  <c r="I51" i="1"/>
  <c r="I95" i="1"/>
  <c r="I10" i="1"/>
  <c r="I62" i="1"/>
  <c r="I53" i="1"/>
  <c r="I11" i="1"/>
  <c r="I14" i="1"/>
  <c r="I176" i="1"/>
  <c r="I76" i="1"/>
  <c r="I177" i="1"/>
  <c r="I136" i="1"/>
  <c r="I67" i="1"/>
  <c r="I41" i="1"/>
  <c r="I24" i="1"/>
  <c r="I134" i="1"/>
  <c r="I135" i="1"/>
  <c r="I97" i="1"/>
  <c r="I90" i="1"/>
  <c r="I78" i="1"/>
  <c r="I79" i="1"/>
  <c r="I65" i="1"/>
  <c r="I31" i="1"/>
  <c r="I149" i="1"/>
  <c r="I180" i="1"/>
  <c r="I123" i="1"/>
  <c r="I88" i="1"/>
  <c r="I66" i="1"/>
  <c r="I126" i="1"/>
  <c r="I57" i="1"/>
  <c r="I46" i="1"/>
  <c r="I94" i="1"/>
  <c r="I155" i="1"/>
  <c r="I98" i="1"/>
  <c r="I119" i="1"/>
  <c r="I148" i="1"/>
  <c r="I43" i="1"/>
  <c r="I18" i="1"/>
  <c r="I12" i="1"/>
  <c r="I162" i="1"/>
  <c r="I48" i="1"/>
  <c r="I132" i="1"/>
  <c r="I130" i="1"/>
  <c r="I147" i="1"/>
  <c r="I92" i="1"/>
  <c r="I173" i="1"/>
  <c r="I154" i="1"/>
  <c r="I77" i="1"/>
  <c r="H169" i="1"/>
  <c r="H20" i="1"/>
  <c r="H159" i="1"/>
  <c r="H29" i="1"/>
  <c r="H2" i="1"/>
  <c r="H181" i="1"/>
  <c r="H60" i="1"/>
  <c r="H111" i="1"/>
  <c r="H84" i="1"/>
  <c r="H69" i="1"/>
  <c r="H16" i="1"/>
  <c r="H146" i="1"/>
  <c r="H137" i="1"/>
  <c r="H99" i="1"/>
  <c r="H72" i="1"/>
  <c r="H40" i="1"/>
  <c r="H64" i="1"/>
  <c r="H83" i="1"/>
  <c r="H161" i="1"/>
  <c r="H107" i="1"/>
  <c r="H179" i="1"/>
  <c r="H73" i="1"/>
  <c r="H36" i="1"/>
  <c r="H156" i="1"/>
  <c r="H93" i="1"/>
  <c r="H96" i="1"/>
  <c r="H139" i="1"/>
  <c r="H26" i="1"/>
  <c r="H89" i="1"/>
  <c r="H144" i="1"/>
  <c r="H110" i="1"/>
  <c r="H157" i="1"/>
  <c r="H3" i="1"/>
  <c r="H124" i="1"/>
  <c r="H19" i="1"/>
  <c r="H37" i="1"/>
  <c r="H106" i="1"/>
  <c r="H47" i="1"/>
  <c r="H42" i="1"/>
  <c r="H4" i="1"/>
  <c r="H143" i="1"/>
  <c r="H115" i="1"/>
  <c r="H150" i="1"/>
  <c r="H28" i="1"/>
  <c r="H171" i="1"/>
  <c r="H59" i="1"/>
  <c r="H22" i="1"/>
  <c r="H86" i="1"/>
  <c r="H141" i="1"/>
  <c r="H50" i="1"/>
  <c r="H21" i="1"/>
  <c r="H151" i="1"/>
  <c r="H82" i="1"/>
  <c r="H168" i="1"/>
  <c r="H109" i="1"/>
  <c r="H54" i="1"/>
  <c r="H125" i="1"/>
  <c r="H38" i="1"/>
  <c r="H17" i="1"/>
  <c r="H163" i="1"/>
  <c r="H33" i="1"/>
  <c r="H122" i="1"/>
  <c r="H105" i="1"/>
  <c r="H113" i="1"/>
  <c r="H55" i="1"/>
  <c r="H174" i="1"/>
  <c r="H131" i="1"/>
  <c r="H34" i="1"/>
  <c r="H129" i="1"/>
  <c r="H58" i="1"/>
  <c r="H71" i="1"/>
  <c r="H114" i="1"/>
  <c r="H160" i="1"/>
  <c r="H127" i="1"/>
  <c r="H5" i="1"/>
  <c r="H32" i="1"/>
  <c r="H52" i="1"/>
  <c r="H15" i="1"/>
  <c r="H166" i="1"/>
  <c r="H120" i="1"/>
  <c r="H133" i="1"/>
  <c r="H75" i="1"/>
  <c r="H178" i="1"/>
  <c r="H45" i="1"/>
  <c r="H6" i="1"/>
  <c r="H152" i="1"/>
  <c r="H117" i="1"/>
  <c r="H116" i="1"/>
  <c r="H85" i="1"/>
  <c r="H39" i="1"/>
  <c r="H100" i="1"/>
  <c r="H172" i="1"/>
  <c r="H101" i="1"/>
  <c r="H165" i="1"/>
  <c r="H142" i="1"/>
  <c r="H30" i="1"/>
  <c r="H170" i="1"/>
  <c r="H167" i="1"/>
  <c r="H7" i="1"/>
  <c r="H70" i="1"/>
  <c r="H153" i="1"/>
  <c r="H112" i="1"/>
  <c r="H81" i="1"/>
  <c r="H103" i="1"/>
  <c r="H91" i="1"/>
  <c r="H102" i="1"/>
  <c r="H140" i="1"/>
  <c r="H145" i="1"/>
  <c r="H44" i="1"/>
  <c r="H175" i="1"/>
  <c r="H23" i="1"/>
  <c r="H87" i="1"/>
  <c r="H104" i="1"/>
  <c r="H108" i="1"/>
  <c r="H158" i="1"/>
  <c r="H138" i="1"/>
  <c r="H13" i="1"/>
  <c r="H35" i="1"/>
  <c r="H49" i="1"/>
  <c r="H80" i="1"/>
  <c r="H25" i="1"/>
  <c r="H8" i="1"/>
  <c r="H27" i="1"/>
  <c r="H61" i="1"/>
  <c r="H164" i="1"/>
  <c r="H74" i="1"/>
  <c r="H128" i="1"/>
  <c r="H121" i="1"/>
  <c r="H118" i="1"/>
  <c r="H56" i="1"/>
  <c r="H68" i="1"/>
  <c r="H9" i="1"/>
  <c r="H63" i="1"/>
  <c r="H51" i="1"/>
  <c r="H95" i="1"/>
  <c r="H10" i="1"/>
  <c r="H62" i="1"/>
  <c r="H53" i="1"/>
  <c r="H11" i="1"/>
  <c r="H14" i="1"/>
  <c r="H176" i="1"/>
  <c r="H76" i="1"/>
  <c r="H177" i="1"/>
  <c r="H136" i="1"/>
  <c r="H67" i="1"/>
  <c r="H41" i="1"/>
  <c r="H24" i="1"/>
  <c r="H134" i="1"/>
  <c r="H135" i="1"/>
  <c r="H97" i="1"/>
  <c r="H90" i="1"/>
  <c r="H78" i="1"/>
  <c r="H79" i="1"/>
  <c r="H65" i="1"/>
  <c r="H31" i="1"/>
  <c r="H149" i="1"/>
  <c r="H180" i="1"/>
  <c r="H123" i="1"/>
  <c r="H88" i="1"/>
  <c r="H66" i="1"/>
  <c r="H126" i="1"/>
  <c r="H57" i="1"/>
  <c r="H46" i="1"/>
  <c r="H94" i="1"/>
  <c r="H155" i="1"/>
  <c r="H98" i="1"/>
  <c r="H119" i="1"/>
  <c r="H148" i="1"/>
  <c r="H43" i="1"/>
  <c r="H18" i="1"/>
  <c r="H12" i="1"/>
  <c r="H162" i="1"/>
  <c r="H48" i="1"/>
  <c r="H132" i="1"/>
  <c r="H130" i="1"/>
  <c r="H147" i="1"/>
  <c r="H92" i="1"/>
  <c r="H173" i="1"/>
  <c r="H154" i="1"/>
  <c r="H77" i="1"/>
  <c r="G169" i="1"/>
  <c r="G20" i="1"/>
  <c r="G159" i="1"/>
  <c r="G29" i="1"/>
  <c r="G2" i="1"/>
  <c r="G181" i="1"/>
  <c r="G60" i="1"/>
  <c r="G111" i="1"/>
  <c r="G84" i="1"/>
  <c r="G69" i="1"/>
  <c r="G16" i="1"/>
  <c r="G146" i="1"/>
  <c r="G137" i="1"/>
  <c r="G99" i="1"/>
  <c r="G72" i="1"/>
  <c r="G40" i="1"/>
  <c r="G64" i="1"/>
  <c r="G83" i="1"/>
  <c r="G161" i="1"/>
  <c r="G107" i="1"/>
  <c r="G179" i="1"/>
  <c r="G73" i="1"/>
  <c r="G36" i="1"/>
  <c r="G156" i="1"/>
  <c r="G93" i="1"/>
  <c r="G96" i="1"/>
  <c r="G139" i="1"/>
  <c r="G26" i="1"/>
  <c r="G89" i="1"/>
  <c r="G144" i="1"/>
  <c r="G110" i="1"/>
  <c r="G157" i="1"/>
  <c r="G3" i="1"/>
  <c r="G124" i="1"/>
  <c r="G19" i="1"/>
  <c r="G37" i="1"/>
  <c r="G106" i="1"/>
  <c r="G47" i="1"/>
  <c r="G42" i="1"/>
  <c r="G4" i="1"/>
  <c r="G143" i="1"/>
  <c r="G115" i="1"/>
  <c r="G150" i="1"/>
  <c r="G28" i="1"/>
  <c r="G171" i="1"/>
  <c r="G59" i="1"/>
  <c r="G22" i="1"/>
  <c r="G86" i="1"/>
  <c r="G141" i="1"/>
  <c r="G50" i="1"/>
  <c r="G21" i="1"/>
  <c r="G151" i="1"/>
  <c r="G82" i="1"/>
  <c r="G168" i="1"/>
  <c r="G109" i="1"/>
  <c r="G54" i="1"/>
  <c r="G125" i="1"/>
  <c r="G38" i="1"/>
  <c r="G17" i="1"/>
  <c r="G163" i="1"/>
  <c r="G33" i="1"/>
  <c r="G122" i="1"/>
  <c r="G105" i="1"/>
  <c r="G113" i="1"/>
  <c r="G55" i="1"/>
  <c r="G174" i="1"/>
  <c r="G131" i="1"/>
  <c r="G34" i="1"/>
  <c r="G129" i="1"/>
  <c r="G58" i="1"/>
  <c r="G71" i="1"/>
  <c r="G114" i="1"/>
  <c r="G160" i="1"/>
  <c r="G127" i="1"/>
  <c r="G5" i="1"/>
  <c r="G32" i="1"/>
  <c r="G52" i="1"/>
  <c r="G15" i="1"/>
  <c r="G166" i="1"/>
  <c r="G120" i="1"/>
  <c r="G133" i="1"/>
  <c r="G75" i="1"/>
  <c r="G178" i="1"/>
  <c r="G45" i="1"/>
  <c r="G6" i="1"/>
  <c r="G152" i="1"/>
  <c r="G117" i="1"/>
  <c r="G116" i="1"/>
  <c r="G85" i="1"/>
  <c r="G39" i="1"/>
  <c r="G100" i="1"/>
  <c r="G172" i="1"/>
  <c r="G101" i="1"/>
  <c r="G165" i="1"/>
  <c r="G142" i="1"/>
  <c r="G30" i="1"/>
  <c r="G170" i="1"/>
  <c r="G167" i="1"/>
  <c r="G7" i="1"/>
  <c r="G70" i="1"/>
  <c r="G153" i="1"/>
  <c r="G112" i="1"/>
  <c r="G81" i="1"/>
  <c r="G103" i="1"/>
  <c r="G91" i="1"/>
  <c r="G102" i="1"/>
  <c r="G140" i="1"/>
  <c r="G145" i="1"/>
  <c r="G44" i="1"/>
  <c r="G175" i="1"/>
  <c r="G23" i="1"/>
  <c r="G87" i="1"/>
  <c r="G104" i="1"/>
  <c r="G108" i="1"/>
  <c r="G158" i="1"/>
  <c r="G138" i="1"/>
  <c r="G13" i="1"/>
  <c r="G35" i="1"/>
  <c r="G49" i="1"/>
  <c r="G80" i="1"/>
  <c r="G25" i="1"/>
  <c r="G8" i="1"/>
  <c r="G27" i="1"/>
  <c r="G61" i="1"/>
  <c r="G164" i="1"/>
  <c r="G74" i="1"/>
  <c r="G128" i="1"/>
  <c r="G121" i="1"/>
  <c r="G118" i="1"/>
  <c r="G56" i="1"/>
  <c r="G68" i="1"/>
  <c r="G9" i="1"/>
  <c r="G63" i="1"/>
  <c r="G51" i="1"/>
  <c r="G95" i="1"/>
  <c r="G10" i="1"/>
  <c r="G62" i="1"/>
  <c r="G53" i="1"/>
  <c r="G11" i="1"/>
  <c r="G14" i="1"/>
  <c r="G176" i="1"/>
  <c r="G76" i="1"/>
  <c r="G177" i="1"/>
  <c r="G136" i="1"/>
  <c r="G67" i="1"/>
  <c r="G41" i="1"/>
  <c r="G24" i="1"/>
  <c r="G134" i="1"/>
  <c r="G135" i="1"/>
  <c r="G97" i="1"/>
  <c r="G90" i="1"/>
  <c r="G78" i="1"/>
  <c r="G79" i="1"/>
  <c r="G65" i="1"/>
  <c r="G31" i="1"/>
  <c r="G149" i="1"/>
  <c r="G180" i="1"/>
  <c r="G123" i="1"/>
  <c r="G88" i="1"/>
  <c r="G66" i="1"/>
  <c r="G126" i="1"/>
  <c r="G57" i="1"/>
  <c r="G46" i="1"/>
  <c r="G94" i="1"/>
  <c r="G155" i="1"/>
  <c r="G98" i="1"/>
  <c r="G119" i="1"/>
  <c r="G148" i="1"/>
  <c r="G43" i="1"/>
  <c r="G18" i="1"/>
  <c r="G12" i="1"/>
  <c r="G162" i="1"/>
  <c r="G48" i="1"/>
  <c r="G132" i="1"/>
  <c r="G130" i="1"/>
  <c r="G147" i="1"/>
  <c r="G92" i="1"/>
  <c r="G173" i="1"/>
  <c r="G154" i="1"/>
  <c r="G77" i="1"/>
</calcChain>
</file>

<file path=xl/sharedStrings.xml><?xml version="1.0" encoding="utf-8"?>
<sst xmlns="http://schemas.openxmlformats.org/spreadsheetml/2006/main" count="371" uniqueCount="370">
  <si>
    <t>NationalSociety</t>
  </si>
  <si>
    <t>Country</t>
  </si>
  <si>
    <t>population 2023</t>
  </si>
  <si>
    <t>Red Cross of the Republic of North Macedonia</t>
  </si>
  <si>
    <t>Malaysian Red Crescent Society</t>
  </si>
  <si>
    <t>Malagasy Red Cross Society</t>
  </si>
  <si>
    <t>Lebanese Red Cross</t>
  </si>
  <si>
    <t>Yemen Red Crescent Society</t>
  </si>
  <si>
    <t>Antigua and Barbuda Red Cross</t>
  </si>
  <si>
    <t>The Barbados Red Cross Society</t>
  </si>
  <si>
    <t>Dominica Red Cross Society</t>
  </si>
  <si>
    <t>Afghan Red Crescent</t>
  </si>
  <si>
    <t>Bangladesh Red Crescent Society</t>
  </si>
  <si>
    <t>Hellenic Red Cross</t>
  </si>
  <si>
    <t>Red Crescent Society of Tajikistan</t>
  </si>
  <si>
    <t>Red Crescent Society of Uzbekistan</t>
  </si>
  <si>
    <t>Red Cross of Montenegro</t>
  </si>
  <si>
    <t>Red Crescent Society of the Republic of Kazakhstan</t>
  </si>
  <si>
    <t>Red Crescent Society of Turkmenistan</t>
  </si>
  <si>
    <t>Red Cross Society of Georgia</t>
  </si>
  <si>
    <t>Red Cross Society of Bosnia and Herzegovina</t>
  </si>
  <si>
    <t>Liberian Red Cross Society</t>
  </si>
  <si>
    <t>Red Crescent Society of Djibouti</t>
  </si>
  <si>
    <t>Togolese Red Cross</t>
  </si>
  <si>
    <t>Red Cross of Benin</t>
  </si>
  <si>
    <t>Mali Red Cross</t>
  </si>
  <si>
    <t>Botswana Red Cross Society</t>
  </si>
  <si>
    <t>Somali Red Crescent Society</t>
  </si>
  <si>
    <t>South Sudan Red Cross</t>
  </si>
  <si>
    <t>Burkinabe Red Cross Society</t>
  </si>
  <si>
    <t>Angola Red Cross</t>
  </si>
  <si>
    <t>Icelandic Red Cross</t>
  </si>
  <si>
    <t>Swiss Red Cross</t>
  </si>
  <si>
    <t>Czech Red Cross</t>
  </si>
  <si>
    <t>German Red Cross</t>
  </si>
  <si>
    <t>Danish Red Cross</t>
  </si>
  <si>
    <t>Colombian Red Cross Society</t>
  </si>
  <si>
    <t>Bulgarian Red Cross</t>
  </si>
  <si>
    <t>Qatar Red Crescent Society</t>
  </si>
  <si>
    <t>Timor-Leste Red Cross Society</t>
  </si>
  <si>
    <t>New Zealand Red Cross</t>
  </si>
  <si>
    <t>Palau Red Cross Society</t>
  </si>
  <si>
    <t>Austrian Red Cross</t>
  </si>
  <si>
    <t>Swedish Red Cross</t>
  </si>
  <si>
    <t>American Red Cross</t>
  </si>
  <si>
    <t>Andorran Red Cross</t>
  </si>
  <si>
    <t>Croatian Red Cross</t>
  </si>
  <si>
    <t>Red Cross Society of Côte d'Ivoire</t>
  </si>
  <si>
    <t>Luxembourg Red Cross</t>
  </si>
  <si>
    <t>Red Cross of Serbia</t>
  </si>
  <si>
    <t>British Red Cross</t>
  </si>
  <si>
    <t>Bolivian Red Cross</t>
  </si>
  <si>
    <t>Cyprus Red Cross Society</t>
  </si>
  <si>
    <t>Polish Red Cross</t>
  </si>
  <si>
    <t>The Trinidad and Tobago Red Cross Society</t>
  </si>
  <si>
    <t>Hungarian Red Cross</t>
  </si>
  <si>
    <t>Cook Islands Red Cross Society</t>
  </si>
  <si>
    <t>Australian Red Cross</t>
  </si>
  <si>
    <t>Italian Red Cross</t>
  </si>
  <si>
    <t>Red Cross Society of the Republic of Moldova</t>
  </si>
  <si>
    <t>Liechtenstein Red Cross</t>
  </si>
  <si>
    <t>Portuguese Red Cross</t>
  </si>
  <si>
    <t>Mauritius Red Cross Society</t>
  </si>
  <si>
    <t>Slovak Red Cross</t>
  </si>
  <si>
    <t>Red Cross of Monaco</t>
  </si>
  <si>
    <t>Jamaica Red Cross</t>
  </si>
  <si>
    <t>Palestine Red Crescent Society</t>
  </si>
  <si>
    <t>Red Cross Society of Panama</t>
  </si>
  <si>
    <t>Guatemalan Red Cross</t>
  </si>
  <si>
    <t>Argentine Red Cross</t>
  </si>
  <si>
    <t>Costa Rican Red Cross</t>
  </si>
  <si>
    <t>Brazilian Red Cross</t>
  </si>
  <si>
    <t>Burundi Red Cross</t>
  </si>
  <si>
    <t>Sri Lanka Red Cross Society</t>
  </si>
  <si>
    <t>Grenada Red Cross Society</t>
  </si>
  <si>
    <t>Honduran Red Cross</t>
  </si>
  <si>
    <t>The South African Red Cross Society</t>
  </si>
  <si>
    <t>Red Crescent Society of Azerbaijan</t>
  </si>
  <si>
    <t>Thai Red Cross Society</t>
  </si>
  <si>
    <t>Rwandan Red Cross</t>
  </si>
  <si>
    <t>Mozambique Red Cross Society</t>
  </si>
  <si>
    <t>Zimbabwe Red Cross Society</t>
  </si>
  <si>
    <t>Belize Red Cross Society</t>
  </si>
  <si>
    <t>Dominican Red Cross</t>
  </si>
  <si>
    <t>Kiribati Red Cross Society</t>
  </si>
  <si>
    <t>Mongolian Red Cross Society</t>
  </si>
  <si>
    <t>Cambodian Red Cross Society</t>
  </si>
  <si>
    <t>Red Cross Society of Guinea</t>
  </si>
  <si>
    <t>Saint Kitts and Nevis Red Cross Society</t>
  </si>
  <si>
    <t>Paraguayan Red Cross</t>
  </si>
  <si>
    <t>Irish Red Cross Society</t>
  </si>
  <si>
    <t>Red Cross of Chad</t>
  </si>
  <si>
    <t>Romanian Red Cross</t>
  </si>
  <si>
    <t>The Republic of Korea National Red Cross</t>
  </si>
  <si>
    <t>Saint Lucia Red Cross</t>
  </si>
  <si>
    <t>Tanzania Red Cross National Society</t>
  </si>
  <si>
    <t>The Solomon Islands Red Cross</t>
  </si>
  <si>
    <t>Maldivian Red Crescent</t>
  </si>
  <si>
    <t>Finnish Red Cross</t>
  </si>
  <si>
    <t>Samoa Red Cross Society</t>
  </si>
  <si>
    <t>Venezuelan Red Cross</t>
  </si>
  <si>
    <t>Singapore Red Cross Society</t>
  </si>
  <si>
    <t>Tonga Red Cross Society</t>
  </si>
  <si>
    <t>Armenian Red Cross Society</t>
  </si>
  <si>
    <t>Myanmar Red Cross Society</t>
  </si>
  <si>
    <t>Sierra Leone Red Cross Society</t>
  </si>
  <si>
    <t>Marshall Islands Red Cross Society</t>
  </si>
  <si>
    <t>Cameroon Red Cross Society</t>
  </si>
  <si>
    <t>Malta Red Cross Society</t>
  </si>
  <si>
    <t>The Bahamas Red Cross Society</t>
  </si>
  <si>
    <t>Ethiopian Red Cross Society</t>
  </si>
  <si>
    <t>Saudi Red Crescent Authority</t>
  </si>
  <si>
    <t>Mexican Red Cross</t>
  </si>
  <si>
    <t>Ecuadorian Red Cross</t>
  </si>
  <si>
    <t>Kenya Red Cross Society</t>
  </si>
  <si>
    <t>Belgian Red Cross</t>
  </si>
  <si>
    <t>Sudanese Red Crescent</t>
  </si>
  <si>
    <t>Guyana Red Cross Society</t>
  </si>
  <si>
    <t>Latvian Red Cross</t>
  </si>
  <si>
    <t>Red Crescent Society of Kyrgyzstan</t>
  </si>
  <si>
    <t>Nigerian Red Cross Society</t>
  </si>
  <si>
    <t>Bahrain Red Crescent Society</t>
  </si>
  <si>
    <t>Lithuanian Red Cross Society</t>
  </si>
  <si>
    <t>Estonian Red Cross</t>
  </si>
  <si>
    <t>Moroccan Red Crescent</t>
  </si>
  <si>
    <t>Senegalese Red Cross Society</t>
  </si>
  <si>
    <t>Canadian Red Cross Society</t>
  </si>
  <si>
    <t>Russian Red Cross</t>
  </si>
  <si>
    <t>Tuvalu Red Cross Society</t>
  </si>
  <si>
    <t>Spanish Red Cross</t>
  </si>
  <si>
    <t>Lesotho Red Cross Society</t>
  </si>
  <si>
    <t>Lao Red Cross</t>
  </si>
  <si>
    <t>Baphalali Eswatini Red Cross Society</t>
  </si>
  <si>
    <t>Vietnam Red Cross Society</t>
  </si>
  <si>
    <t>The Netherlands Red Cross</t>
  </si>
  <si>
    <t>Belarus Red Cross</t>
  </si>
  <si>
    <t>Red Crescent Society of the Islamic Republic of Iran</t>
  </si>
  <si>
    <t>Indian Red Cross Society</t>
  </si>
  <si>
    <t>Uruguayan Red Cross</t>
  </si>
  <si>
    <t>Philippine Red Cross</t>
  </si>
  <si>
    <t>Ukrainian Red Cross Society</t>
  </si>
  <si>
    <t>Nepal Red Cross Society</t>
  </si>
  <si>
    <t>Sao Tome and Principe Red Cross</t>
  </si>
  <si>
    <t>Micronesia Red Cross</t>
  </si>
  <si>
    <t>Turkish Red Crescent Society</t>
  </si>
  <si>
    <t>Gabonese Red Cross Society</t>
  </si>
  <si>
    <t>Central African Red Cross Society</t>
  </si>
  <si>
    <t>Salvadorean Red Cross Society</t>
  </si>
  <si>
    <t>Red Cross Society of the Democratic People's Republic of Korea</t>
  </si>
  <si>
    <t>Red Cross of the Democratic Republic of the Congo</t>
  </si>
  <si>
    <t>Pakistan Red Crescent</t>
  </si>
  <si>
    <t>Egyptian Red Crescent Society</t>
  </si>
  <si>
    <t>Ghana Red Cross Society</t>
  </si>
  <si>
    <t>Cuban Red Cross</t>
  </si>
  <si>
    <t>Suriname Red Cross</t>
  </si>
  <si>
    <t>Albanian Red Cross</t>
  </si>
  <si>
    <t>Magen David Adom in Israel</t>
  </si>
  <si>
    <t>Vanuatu Red Cross Society</t>
  </si>
  <si>
    <t>Mauritanian Red Crescent</t>
  </si>
  <si>
    <t>Japanese Red Cross Society</t>
  </si>
  <si>
    <t>The Comoros Red Crescent</t>
  </si>
  <si>
    <t>Iraqi Red Crescent Society</t>
  </si>
  <si>
    <t>Red Cross Society of Guinea-Bissau</t>
  </si>
  <si>
    <t>Algerian Red Crescent</t>
  </si>
  <si>
    <t>Syrian Arab Red Crescent</t>
  </si>
  <si>
    <t>Uganda Red Cross Society</t>
  </si>
  <si>
    <t>Saint Vincent and the Grenadines Red Cross</t>
  </si>
  <si>
    <t>Libyan Red Crescent</t>
  </si>
  <si>
    <t>Red Cross Society of China</t>
  </si>
  <si>
    <t>Chilean Red Cross</t>
  </si>
  <si>
    <t>Gambia Red Cross Society</t>
  </si>
  <si>
    <t>Malawi Red Cross Society</t>
  </si>
  <si>
    <t>Bhutan Red Cross Society</t>
  </si>
  <si>
    <t>Red Cross of the Republic of San Marino</t>
  </si>
  <si>
    <t>Fiji Red Cross Society</t>
  </si>
  <si>
    <t>Jordan National Red Crescent Society</t>
  </si>
  <si>
    <t>Red Cross Society of Seychelles</t>
  </si>
  <si>
    <t>Congolese Red Cross</t>
  </si>
  <si>
    <t>Papua New Guinea Red Cross Society</t>
  </si>
  <si>
    <t>Zambia Red Cross Society</t>
  </si>
  <si>
    <t>French Red Cross</t>
  </si>
  <si>
    <t>Namibia Red Cross</t>
  </si>
  <si>
    <t>Slovenian Red Cross</t>
  </si>
  <si>
    <t>Yemen</t>
  </si>
  <si>
    <t>Antigua and Barbuda</t>
  </si>
  <si>
    <t>Dominica</t>
  </si>
  <si>
    <t>Bangladesh</t>
  </si>
  <si>
    <t>Tajikistan</t>
  </si>
  <si>
    <t>Uzbekistan</t>
  </si>
  <si>
    <t>Montenegro</t>
  </si>
  <si>
    <t>Kazakhstan</t>
  </si>
  <si>
    <t>Turkmenistan</t>
  </si>
  <si>
    <t>Georgia</t>
  </si>
  <si>
    <t>Bosnia and Herzegovina</t>
  </si>
  <si>
    <t>Djibouti</t>
  </si>
  <si>
    <t>Benin</t>
  </si>
  <si>
    <t>Mali</t>
  </si>
  <si>
    <t>Botswana</t>
  </si>
  <si>
    <t>South Sudan</t>
  </si>
  <si>
    <t>Angola</t>
  </si>
  <si>
    <t>Switzerland</t>
  </si>
  <si>
    <t>Germany</t>
  </si>
  <si>
    <t>Qatar</t>
  </si>
  <si>
    <t>Timor-Leste</t>
  </si>
  <si>
    <t>New Zealand</t>
  </si>
  <si>
    <t>Palau</t>
  </si>
  <si>
    <t>United States of America</t>
  </si>
  <si>
    <t>Andorran</t>
  </si>
  <si>
    <t>Côte d'Ivoire</t>
  </si>
  <si>
    <t>Luxembourg</t>
  </si>
  <si>
    <t>Serbia</t>
  </si>
  <si>
    <t>United Kingdom</t>
  </si>
  <si>
    <t>Cyprus</t>
  </si>
  <si>
    <t>Cook Islands</t>
  </si>
  <si>
    <t>Italy</t>
  </si>
  <si>
    <t>Moldova</t>
  </si>
  <si>
    <t>Liechtenstein</t>
  </si>
  <si>
    <t>Mauritius</t>
  </si>
  <si>
    <t>Monaco</t>
  </si>
  <si>
    <t>Jamaica</t>
  </si>
  <si>
    <t>Panama</t>
  </si>
  <si>
    <t>Burundi</t>
  </si>
  <si>
    <t>Sri Lanka</t>
  </si>
  <si>
    <t>Grenada</t>
  </si>
  <si>
    <t>Azerbaijan</t>
  </si>
  <si>
    <t>Mozambique</t>
  </si>
  <si>
    <t>Zimbabwe</t>
  </si>
  <si>
    <t>Belize</t>
  </si>
  <si>
    <t>Kiribati</t>
  </si>
  <si>
    <t>Guinea</t>
  </si>
  <si>
    <t>Saint Kitts and Nevis</t>
  </si>
  <si>
    <t>Chad</t>
  </si>
  <si>
    <t>Saint Lucia</t>
  </si>
  <si>
    <t>Samoa</t>
  </si>
  <si>
    <t>Singapore</t>
  </si>
  <si>
    <t>Tonga</t>
  </si>
  <si>
    <t>Myanmar</t>
  </si>
  <si>
    <t>Sierra Leone</t>
  </si>
  <si>
    <t>Marshall Islands</t>
  </si>
  <si>
    <t>Cameroon</t>
  </si>
  <si>
    <t>Malta</t>
  </si>
  <si>
    <t>Saudi Arabia</t>
  </si>
  <si>
    <t>Kenya</t>
  </si>
  <si>
    <t>Belgium</t>
  </si>
  <si>
    <t>Guyana</t>
  </si>
  <si>
    <t>Kyrgyzstan</t>
  </si>
  <si>
    <t>Bahrain</t>
  </si>
  <si>
    <t>Canada</t>
  </si>
  <si>
    <t>Tuvalu</t>
  </si>
  <si>
    <t>Spain</t>
  </si>
  <si>
    <t>Lesotho</t>
  </si>
  <si>
    <t>The Netherlands</t>
  </si>
  <si>
    <t>Belarus</t>
  </si>
  <si>
    <t>Iran</t>
  </si>
  <si>
    <t>Nepal</t>
  </si>
  <si>
    <t>Sao Tome and Principe</t>
  </si>
  <si>
    <t>Turkey</t>
  </si>
  <si>
    <t>Salvadorean</t>
  </si>
  <si>
    <t>Pakistan</t>
  </si>
  <si>
    <t>Ghana</t>
  </si>
  <si>
    <t>Suriname</t>
  </si>
  <si>
    <t>Israel</t>
  </si>
  <si>
    <t>Vanuatu</t>
  </si>
  <si>
    <t>Japan</t>
  </si>
  <si>
    <t>Guinea-Bissau</t>
  </si>
  <si>
    <t>Uganda</t>
  </si>
  <si>
    <t>Saint Vincent and the Grenadines</t>
  </si>
  <si>
    <t>China</t>
  </si>
  <si>
    <t>Gambia</t>
  </si>
  <si>
    <t>Malawi</t>
  </si>
  <si>
    <t>Bhutan</t>
  </si>
  <si>
    <t>San Marino</t>
  </si>
  <si>
    <t>Fiji</t>
  </si>
  <si>
    <t>Seychelles</t>
  </si>
  <si>
    <t>Papua New Guinea</t>
  </si>
  <si>
    <t>Zambia</t>
  </si>
  <si>
    <t>France</t>
  </si>
  <si>
    <t>Namibia</t>
  </si>
  <si>
    <t>TFYR Macedonia</t>
  </si>
  <si>
    <t>Malaysia</t>
  </si>
  <si>
    <t>Madagascar</t>
  </si>
  <si>
    <t>Lebanon</t>
  </si>
  <si>
    <t>Barbados</t>
  </si>
  <si>
    <t>Afghanistan</t>
  </si>
  <si>
    <t>Greece</t>
  </si>
  <si>
    <t>Liberia</t>
  </si>
  <si>
    <t>Albania</t>
  </si>
  <si>
    <t>Algeria</t>
  </si>
  <si>
    <t>Argentina</t>
  </si>
  <si>
    <t>Armenia</t>
  </si>
  <si>
    <t>Australia</t>
  </si>
  <si>
    <t>Austria</t>
  </si>
  <si>
    <t>Swaziland</t>
  </si>
  <si>
    <t>Bolivia</t>
  </si>
  <si>
    <t>Brazil</t>
  </si>
  <si>
    <t>Bulgaria</t>
  </si>
  <si>
    <t>Burkina Faso</t>
  </si>
  <si>
    <t>Cambodia</t>
  </si>
  <si>
    <t>Central African Republic</t>
  </si>
  <si>
    <t>Chile</t>
  </si>
  <si>
    <t>Colombia</t>
  </si>
  <si>
    <t>Congo</t>
  </si>
  <si>
    <t>Costa Rica</t>
  </si>
  <si>
    <t>Croatia</t>
  </si>
  <si>
    <t>Cuba</t>
  </si>
  <si>
    <t>Czech Republic</t>
  </si>
  <si>
    <t>Denmark</t>
  </si>
  <si>
    <t>Dominican Republic</t>
  </si>
  <si>
    <t>Ecuador</t>
  </si>
  <si>
    <t>Egypt</t>
  </si>
  <si>
    <t>Estonia</t>
  </si>
  <si>
    <t>Ethiopia</t>
  </si>
  <si>
    <t>Finland</t>
  </si>
  <si>
    <t>Gabon</t>
  </si>
  <si>
    <t>Guatemala</t>
  </si>
  <si>
    <t>Honduras</t>
  </si>
  <si>
    <t>Hungary</t>
  </si>
  <si>
    <t>Iceland</t>
  </si>
  <si>
    <t>India</t>
  </si>
  <si>
    <t>Iraq</t>
  </si>
  <si>
    <t>Ireland</t>
  </si>
  <si>
    <t>Jordan</t>
  </si>
  <si>
    <t>Dem. People's Republic of Korea</t>
  </si>
  <si>
    <t>Republic of Korea</t>
  </si>
  <si>
    <t>Laos</t>
  </si>
  <si>
    <t>Latvia</t>
  </si>
  <si>
    <t>Libya</t>
  </si>
  <si>
    <t>Lithuania</t>
  </si>
  <si>
    <t>Maldives</t>
  </si>
  <si>
    <t>Mauritania</t>
  </si>
  <si>
    <t>Mexico</t>
  </si>
  <si>
    <t>Micronesia (Fed. States of)</t>
  </si>
  <si>
    <t>Morocco</t>
  </si>
  <si>
    <t>Mongolia</t>
  </si>
  <si>
    <t>Nigeria</t>
  </si>
  <si>
    <t>State of Palestine</t>
  </si>
  <si>
    <t>Paraguay</t>
  </si>
  <si>
    <t>Philippines</t>
  </si>
  <si>
    <t>Poland</t>
  </si>
  <si>
    <t>Portugal</t>
  </si>
  <si>
    <t>Romania</t>
  </si>
  <si>
    <t>Russian Federation</t>
  </si>
  <si>
    <t>Rwanda</t>
  </si>
  <si>
    <t>Senegal</t>
  </si>
  <si>
    <t>Slovakia</t>
  </si>
  <si>
    <t>Slovenia</t>
  </si>
  <si>
    <t>Somalia</t>
  </si>
  <si>
    <t>Sudan</t>
  </si>
  <si>
    <t>Sweden</t>
  </si>
  <si>
    <t>Syrian Arab Republic</t>
  </si>
  <si>
    <t>Tanzania</t>
  </si>
  <si>
    <t>Thailand</t>
  </si>
  <si>
    <t>Bahamas</t>
  </si>
  <si>
    <t>Solomon Islands</t>
  </si>
  <si>
    <t>Ukraine</t>
  </si>
  <si>
    <t>Togo</t>
  </si>
  <si>
    <t>Uruguay</t>
  </si>
  <si>
    <t>Venezuela</t>
  </si>
  <si>
    <t>Viet Nam</t>
  </si>
  <si>
    <t>Trinidad and Tobago</t>
  </si>
  <si>
    <t>South Africa</t>
  </si>
  <si>
    <t>Comoros</t>
  </si>
  <si>
    <t>2023 People trained in First Aid</t>
  </si>
  <si>
    <t>2022 People trained in First Aid</t>
  </si>
  <si>
    <t>2024 People trained in First Aid</t>
  </si>
  <si>
    <t>2022 Training_Coverage_%</t>
  </si>
  <si>
    <t>2023 Training_Coverage_%</t>
  </si>
  <si>
    <t>2024 Training_Coverage_%</t>
  </si>
  <si>
    <t xml:space="preserve">sum TRAINED </t>
  </si>
  <si>
    <t>3 year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</si>
</sst>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0" fontId="0" fillId="0" borderId="0" xfId="0" applyNumberFormat="1"/>
    <xf numFmtId="0" fontId="0" fillId="2" borderId="0" xfId="0" applyFill="1"/>
    <xf numFmtId="0" fontId="0" fillId="2" borderId="0" xfId="0" applyNumberFormat="1" applyFill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FA4066-C4B2-49C5-BBD3-ABD156F05B40}" name="Table1" displayName="Table1" ref="A1:K181" totalsRowShown="0" headerRowDxfId="7" headerRowBorderDxfId="6" tableBorderDxfId="5">
  <autoFilter ref="A1:K181" xr:uid="{B5FA4066-C4B2-49C5-BBD3-ABD156F05B40}"/>
  <sortState xmlns:xlrd2="http://schemas.microsoft.com/office/spreadsheetml/2017/richdata2" ref="A2:K181">
    <sortCondition descending="1" ref="K1:K181"/>
  </sortState>
  <tableColumns count="11">
    <tableColumn id="3" xr3:uid="{4F88E847-8456-4731-8582-6723B6D6079F}" name="NationalSociety"/>
    <tableColumn id="9" xr3:uid="{13072843-C332-4F74-B8FA-92AD466BF1E7}" name="2022 People trained in First Aid"/>
    <tableColumn id="12" xr3:uid="{13DE1CD6-8080-496E-AF81-12E8B7D72F13}" name="2023 People trained in First Aid"/>
    <tableColumn id="4" xr3:uid="{C095B142-245E-4A8A-8A2E-A65130CD6A8F}" name="2024 People trained in First Aid"/>
    <tableColumn id="6" xr3:uid="{0408E52C-7681-4539-BD88-1BCCF608C7FC}" name="Country"/>
    <tableColumn id="7" xr3:uid="{B5AC0B9A-8832-4499-9446-85193FE44067}" name="population 2023"/>
    <tableColumn id="14" xr3:uid="{AE97DB81-2B50-454A-8032-AC5E8830A3DE}" name="2022 Training_Coverage_%" dataDxfId="4">
      <calculatedColumnFormula>Table1[[#This Row],[2022 People trained in First Aid]]/Table1[[#This Row],[population 2023]]*100</calculatedColumnFormula>
    </tableColumn>
    <tableColumn id="15" xr3:uid="{7A8DB18D-E922-4C7B-A8C7-5266AA1D74A0}" name="2023 Training_Coverage_%" dataDxfId="3">
      <calculatedColumnFormula>Table1[[#This Row],[2023 People trained in First Aid]]/Table1[[#This Row],[population 2023]]*100</calculatedColumnFormula>
    </tableColumn>
    <tableColumn id="16" xr3:uid="{DFC465EA-B2E6-465C-8FE5-1C4787944BD2}" name="2024 Training_Coverage_%" dataDxfId="2">
      <calculatedColumnFormula>Table1[[#This Row],[2024 People trained in First Aid]]/Table1[[#This Row],[population 2023]]*100</calculatedColumnFormula>
    </tableColumn>
    <tableColumn id="1" xr3:uid="{9DB87B6B-74F1-4F41-8A56-05A95DA032D9}" name="sum TRAINED " dataDxfId="1">
      <calculatedColumnFormula>SUM(Table1[[#This Row],[2022 People trained in First Aid]],Table1[[#This Row],[2023 People trained in First Aid]],Table1[[#This Row],[2024 People trained in First Aid]])</calculatedColumnFormula>
    </tableColumn>
    <tableColumn id="2" xr3:uid="{333EAF18-C59C-4B44-B878-536AEBFE0481}" name="3 year coverage" dataDxfId="0">
      <calculatedColumnFormula>Table1[[#This Row],[sum TRAINED ]]/Table1[[#This Row],[population 2023]]*100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1"/>
  <sheetViews>
    <sheetView tabSelected="1" topLeftCell="C7" workbookViewId="0">
      <selection activeCell="C40" sqref="A40:XFD40"/>
    </sheetView>
  </sheetViews>
  <sheetFormatPr defaultRowHeight="14.5" x14ac:dyDescent="0.35"/>
  <cols>
    <col min="1" max="1" width="53.90625" bestFit="1" customWidth="1"/>
    <col min="2" max="3" width="53.90625" customWidth="1"/>
    <col min="4" max="4" width="32.1796875" bestFit="1" customWidth="1"/>
    <col min="5" max="5" width="28.7265625" bestFit="1" customWidth="1"/>
    <col min="6" max="6" width="16.453125" customWidth="1"/>
    <col min="7" max="9" width="28.1796875" bestFit="1" customWidth="1"/>
    <col min="10" max="10" width="17.26953125" bestFit="1" customWidth="1"/>
    <col min="11" max="11" width="18.6328125" bestFit="1" customWidth="1"/>
  </cols>
  <sheetData>
    <row r="1" spans="1:11" x14ac:dyDescent="0.35">
      <c r="A1" s="1" t="s">
        <v>0</v>
      </c>
      <c r="B1" s="1" t="s">
        <v>363</v>
      </c>
      <c r="C1" s="1" t="s">
        <v>362</v>
      </c>
      <c r="D1" s="1" t="s">
        <v>364</v>
      </c>
      <c r="E1" s="1" t="s">
        <v>1</v>
      </c>
      <c r="F1" s="1" t="s">
        <v>2</v>
      </c>
      <c r="G1" s="1" t="s">
        <v>365</v>
      </c>
      <c r="H1" s="1" t="s">
        <v>366</v>
      </c>
      <c r="I1" s="1" t="s">
        <v>367</v>
      </c>
      <c r="J1" s="1" t="s">
        <v>368</v>
      </c>
      <c r="K1" s="1" t="s">
        <v>369</v>
      </c>
    </row>
    <row r="2" spans="1:11" x14ac:dyDescent="0.35">
      <c r="A2" t="s">
        <v>45</v>
      </c>
      <c r="B2">
        <v>3582</v>
      </c>
      <c r="C2">
        <v>3141</v>
      </c>
      <c r="D2">
        <v>3162</v>
      </c>
      <c r="E2" t="s">
        <v>207</v>
      </c>
      <c r="G2" t="e">
        <f>Table1[[#This Row],[2022 People trained in First Aid]]/Table1[[#This Row],[population 2023]]*100</f>
        <v>#DIV/0!</v>
      </c>
      <c r="H2" t="e">
        <f>Table1[[#This Row],[2023 People trained in First Aid]]/Table1[[#This Row],[population 2023]]*100</f>
        <v>#DIV/0!</v>
      </c>
      <c r="I2" t="e">
        <f>Table1[[#This Row],[2024 People trained in First Aid]]/Table1[[#This Row],[population 2023]]*100</f>
        <v>#DIV/0!</v>
      </c>
      <c r="J2" s="3">
        <f>SUM(Table1[[#This Row],[2022 People trained in First Aid]],Table1[[#This Row],[2023 People trained in First Aid]],Table1[[#This Row],[2024 People trained in First Aid]])</f>
        <v>9885</v>
      </c>
      <c r="K2" s="3" t="e">
        <f>Table1[[#This Row],[sum TRAINED ]]/Table1[[#This Row],[population 2023]]*100</f>
        <v>#DIV/0!</v>
      </c>
    </row>
    <row r="3" spans="1:11" x14ac:dyDescent="0.35">
      <c r="A3" t="s">
        <v>56</v>
      </c>
      <c r="B3">
        <v>365</v>
      </c>
      <c r="C3">
        <v>474</v>
      </c>
      <c r="D3">
        <v>560</v>
      </c>
      <c r="E3" t="s">
        <v>213</v>
      </c>
      <c r="G3" t="e">
        <f>Table1[[#This Row],[2022 People trained in First Aid]]/Table1[[#This Row],[population 2023]]*100</f>
        <v>#DIV/0!</v>
      </c>
      <c r="H3" t="e">
        <f>Table1[[#This Row],[2023 People trained in First Aid]]/Table1[[#This Row],[population 2023]]*100</f>
        <v>#DIV/0!</v>
      </c>
      <c r="I3" t="e">
        <f>Table1[[#This Row],[2024 People trained in First Aid]]/Table1[[#This Row],[population 2023]]*100</f>
        <v>#DIV/0!</v>
      </c>
      <c r="J3" s="3">
        <f>SUM(Table1[[#This Row],[2022 People trained in First Aid]],Table1[[#This Row],[2023 People trained in First Aid]],Table1[[#This Row],[2024 People trained in First Aid]])</f>
        <v>1399</v>
      </c>
      <c r="K3" s="3" t="e">
        <f>Table1[[#This Row],[sum TRAINED ]]/Table1[[#This Row],[population 2023]]*100</f>
        <v>#DIV/0!</v>
      </c>
    </row>
    <row r="4" spans="1:11" x14ac:dyDescent="0.35">
      <c r="A4" t="s">
        <v>10</v>
      </c>
      <c r="B4">
        <v>426</v>
      </c>
      <c r="C4">
        <v>277</v>
      </c>
      <c r="D4">
        <v>50</v>
      </c>
      <c r="E4" t="s">
        <v>185</v>
      </c>
      <c r="G4" t="e">
        <f>Table1[[#This Row],[2022 People trained in First Aid]]/Table1[[#This Row],[population 2023]]*100</f>
        <v>#DIV/0!</v>
      </c>
      <c r="H4" t="e">
        <f>Table1[[#This Row],[2023 People trained in First Aid]]/Table1[[#This Row],[population 2023]]*100</f>
        <v>#DIV/0!</v>
      </c>
      <c r="I4" t="e">
        <f>Table1[[#This Row],[2024 People trained in First Aid]]/Table1[[#This Row],[population 2023]]*100</f>
        <v>#DIV/0!</v>
      </c>
      <c r="J4" s="3">
        <f>SUM(Table1[[#This Row],[2022 People trained in First Aid]],Table1[[#This Row],[2023 People trained in First Aid]],Table1[[#This Row],[2024 People trained in First Aid]])</f>
        <v>753</v>
      </c>
      <c r="K4" s="3" t="e">
        <f>Table1[[#This Row],[sum TRAINED ]]/Table1[[#This Row],[population 2023]]*100</f>
        <v>#DIV/0!</v>
      </c>
    </row>
    <row r="5" spans="1:11" x14ac:dyDescent="0.35">
      <c r="A5" t="s">
        <v>60</v>
      </c>
      <c r="B5">
        <v>800</v>
      </c>
      <c r="C5">
        <v>1036</v>
      </c>
      <c r="D5">
        <v>1391</v>
      </c>
      <c r="E5" t="s">
        <v>216</v>
      </c>
      <c r="G5" t="e">
        <f>Table1[[#This Row],[2022 People trained in First Aid]]/Table1[[#This Row],[population 2023]]*100</f>
        <v>#DIV/0!</v>
      </c>
      <c r="H5" t="e">
        <f>Table1[[#This Row],[2023 People trained in First Aid]]/Table1[[#This Row],[population 2023]]*100</f>
        <v>#DIV/0!</v>
      </c>
      <c r="I5" t="e">
        <f>Table1[[#This Row],[2024 People trained in First Aid]]/Table1[[#This Row],[population 2023]]*100</f>
        <v>#DIV/0!</v>
      </c>
      <c r="J5" s="3">
        <f>SUM(Table1[[#This Row],[2022 People trained in First Aid]],Table1[[#This Row],[2023 People trained in First Aid]],Table1[[#This Row],[2024 People trained in First Aid]])</f>
        <v>3227</v>
      </c>
      <c r="K5" s="3" t="e">
        <f>Table1[[#This Row],[sum TRAINED ]]/Table1[[#This Row],[population 2023]]*100</f>
        <v>#DIV/0!</v>
      </c>
    </row>
    <row r="6" spans="1:11" x14ac:dyDescent="0.35">
      <c r="A6" t="s">
        <v>106</v>
      </c>
      <c r="B6">
        <v>120</v>
      </c>
      <c r="C6">
        <v>1005</v>
      </c>
      <c r="D6">
        <v>261</v>
      </c>
      <c r="E6" t="s">
        <v>238</v>
      </c>
      <c r="G6" t="e">
        <f>Table1[[#This Row],[2022 People trained in First Aid]]/Table1[[#This Row],[population 2023]]*100</f>
        <v>#DIV/0!</v>
      </c>
      <c r="H6" t="e">
        <f>Table1[[#This Row],[2023 People trained in First Aid]]/Table1[[#This Row],[population 2023]]*100</f>
        <v>#DIV/0!</v>
      </c>
      <c r="I6" t="e">
        <f>Table1[[#This Row],[2024 People trained in First Aid]]/Table1[[#This Row],[population 2023]]*100</f>
        <v>#DIV/0!</v>
      </c>
      <c r="J6" s="3">
        <f>SUM(Table1[[#This Row],[2022 People trained in First Aid]],Table1[[#This Row],[2023 People trained in First Aid]],Table1[[#This Row],[2024 People trained in First Aid]])</f>
        <v>1386</v>
      </c>
      <c r="K6" s="3" t="e">
        <f>Table1[[#This Row],[sum TRAINED ]]/Table1[[#This Row],[population 2023]]*100</f>
        <v>#DIV/0!</v>
      </c>
    </row>
    <row r="7" spans="1:11" x14ac:dyDescent="0.35">
      <c r="A7" t="s">
        <v>41</v>
      </c>
      <c r="B7">
        <v>250</v>
      </c>
      <c r="C7">
        <v>522</v>
      </c>
      <c r="D7">
        <v>401</v>
      </c>
      <c r="E7" t="s">
        <v>205</v>
      </c>
      <c r="G7" t="e">
        <f>Table1[[#This Row],[2022 People trained in First Aid]]/Table1[[#This Row],[population 2023]]*100</f>
        <v>#DIV/0!</v>
      </c>
      <c r="H7" t="e">
        <f>Table1[[#This Row],[2023 People trained in First Aid]]/Table1[[#This Row],[population 2023]]*100</f>
        <v>#DIV/0!</v>
      </c>
      <c r="I7" t="e">
        <f>Table1[[#This Row],[2024 People trained in First Aid]]/Table1[[#This Row],[population 2023]]*100</f>
        <v>#DIV/0!</v>
      </c>
      <c r="J7" s="3">
        <f>SUM(Table1[[#This Row],[2022 People trained in First Aid]],Table1[[#This Row],[2023 People trained in First Aid]],Table1[[#This Row],[2024 People trained in First Aid]])</f>
        <v>1173</v>
      </c>
      <c r="K7" s="3" t="e">
        <f>Table1[[#This Row],[sum TRAINED ]]/Table1[[#This Row],[population 2023]]*100</f>
        <v>#DIV/0!</v>
      </c>
    </row>
    <row r="8" spans="1:11" x14ac:dyDescent="0.35">
      <c r="A8" t="s">
        <v>173</v>
      </c>
      <c r="B8">
        <v>30</v>
      </c>
      <c r="C8">
        <v>17</v>
      </c>
      <c r="D8">
        <v>22</v>
      </c>
      <c r="E8" t="s">
        <v>271</v>
      </c>
      <c r="G8" t="e">
        <f>Table1[[#This Row],[2022 People trained in First Aid]]/Table1[[#This Row],[population 2023]]*100</f>
        <v>#DIV/0!</v>
      </c>
      <c r="H8" t="e">
        <f>Table1[[#This Row],[2023 People trained in First Aid]]/Table1[[#This Row],[population 2023]]*100</f>
        <v>#DIV/0!</v>
      </c>
      <c r="I8" t="e">
        <f>Table1[[#This Row],[2024 People trained in First Aid]]/Table1[[#This Row],[population 2023]]*100</f>
        <v>#DIV/0!</v>
      </c>
      <c r="J8" s="3">
        <f>SUM(Table1[[#This Row],[2022 People trained in First Aid]],Table1[[#This Row],[2023 People trained in First Aid]],Table1[[#This Row],[2024 People trained in First Aid]])</f>
        <v>69</v>
      </c>
      <c r="K8" s="3" t="e">
        <f>Table1[[#This Row],[sum TRAINED ]]/Table1[[#This Row],[population 2023]]*100</f>
        <v>#DIV/0!</v>
      </c>
    </row>
    <row r="9" spans="1:11" x14ac:dyDescent="0.35">
      <c r="A9" t="s">
        <v>59</v>
      </c>
      <c r="B9">
        <v>975</v>
      </c>
      <c r="C9">
        <v>1240</v>
      </c>
      <c r="D9">
        <v>385</v>
      </c>
      <c r="E9" t="s">
        <v>215</v>
      </c>
      <c r="G9" t="e">
        <f>Table1[[#This Row],[2022 People trained in First Aid]]/Table1[[#This Row],[population 2023]]*100</f>
        <v>#DIV/0!</v>
      </c>
      <c r="H9" t="e">
        <f>Table1[[#This Row],[2023 People trained in First Aid]]/Table1[[#This Row],[population 2023]]*100</f>
        <v>#DIV/0!</v>
      </c>
      <c r="I9" t="e">
        <f>Table1[[#This Row],[2024 People trained in First Aid]]/Table1[[#This Row],[population 2023]]*100</f>
        <v>#DIV/0!</v>
      </c>
      <c r="J9" s="3">
        <f>SUM(Table1[[#This Row],[2022 People trained in First Aid]],Table1[[#This Row],[2023 People trained in First Aid]],Table1[[#This Row],[2024 People trained in First Aid]])</f>
        <v>2600</v>
      </c>
      <c r="K9" s="3" t="e">
        <f>Table1[[#This Row],[sum TRAINED ]]/Table1[[#This Row],[population 2023]]*100</f>
        <v>#DIV/0!</v>
      </c>
    </row>
    <row r="10" spans="1:11" x14ac:dyDescent="0.35">
      <c r="A10" t="s">
        <v>88</v>
      </c>
      <c r="B10">
        <v>346</v>
      </c>
      <c r="C10">
        <v>321</v>
      </c>
      <c r="D10">
        <v>248</v>
      </c>
      <c r="E10" t="s">
        <v>230</v>
      </c>
      <c r="G10" t="e">
        <f>Table1[[#This Row],[2022 People trained in First Aid]]/Table1[[#This Row],[population 2023]]*100</f>
        <v>#DIV/0!</v>
      </c>
      <c r="H10" t="e">
        <f>Table1[[#This Row],[2023 People trained in First Aid]]/Table1[[#This Row],[population 2023]]*100</f>
        <v>#DIV/0!</v>
      </c>
      <c r="I10" t="e">
        <f>Table1[[#This Row],[2024 People trained in First Aid]]/Table1[[#This Row],[population 2023]]*100</f>
        <v>#DIV/0!</v>
      </c>
      <c r="J10" s="3">
        <f>SUM(Table1[[#This Row],[2022 People trained in First Aid]],Table1[[#This Row],[2023 People trained in First Aid]],Table1[[#This Row],[2024 People trained in First Aid]])</f>
        <v>915</v>
      </c>
      <c r="K10" s="3" t="e">
        <f>Table1[[#This Row],[sum TRAINED ]]/Table1[[#This Row],[population 2023]]*100</f>
        <v>#DIV/0!</v>
      </c>
    </row>
    <row r="11" spans="1:11" x14ac:dyDescent="0.35">
      <c r="A11" t="s">
        <v>147</v>
      </c>
      <c r="B11">
        <v>2120</v>
      </c>
      <c r="C11">
        <v>4627</v>
      </c>
      <c r="D11">
        <v>187</v>
      </c>
      <c r="E11" t="s">
        <v>257</v>
      </c>
      <c r="G11" t="e">
        <f>Table1[[#This Row],[2022 People trained in First Aid]]/Table1[[#This Row],[population 2023]]*100</f>
        <v>#DIV/0!</v>
      </c>
      <c r="H11" t="e">
        <f>Table1[[#This Row],[2023 People trained in First Aid]]/Table1[[#This Row],[population 2023]]*100</f>
        <v>#DIV/0!</v>
      </c>
      <c r="I11" t="e">
        <f>Table1[[#This Row],[2024 People trained in First Aid]]/Table1[[#This Row],[population 2023]]*100</f>
        <v>#DIV/0!</v>
      </c>
      <c r="J11" s="3">
        <f>SUM(Table1[[#This Row],[2022 People trained in First Aid]],Table1[[#This Row],[2023 People trained in First Aid]],Table1[[#This Row],[2024 People trained in First Aid]])</f>
        <v>6934</v>
      </c>
      <c r="K11" s="3" t="e">
        <f>Table1[[#This Row],[sum TRAINED ]]/Table1[[#This Row],[population 2023]]*100</f>
        <v>#DIV/0!</v>
      </c>
    </row>
    <row r="12" spans="1:11" x14ac:dyDescent="0.35">
      <c r="A12" t="s">
        <v>128</v>
      </c>
      <c r="C12">
        <v>30</v>
      </c>
      <c r="D12">
        <v>40</v>
      </c>
      <c r="E12" t="s">
        <v>248</v>
      </c>
      <c r="G12" t="e">
        <f>Table1[[#This Row],[2022 People trained in First Aid]]/Table1[[#This Row],[population 2023]]*100</f>
        <v>#DIV/0!</v>
      </c>
      <c r="H12" t="e">
        <f>Table1[[#This Row],[2023 People trained in First Aid]]/Table1[[#This Row],[population 2023]]*100</f>
        <v>#DIV/0!</v>
      </c>
      <c r="I12" t="e">
        <f>Table1[[#This Row],[2024 People trained in First Aid]]/Table1[[#This Row],[population 2023]]*100</f>
        <v>#DIV/0!</v>
      </c>
      <c r="J12" s="3">
        <f>SUM(Table1[[#This Row],[2022 People trained in First Aid]],Table1[[#This Row],[2023 People trained in First Aid]],Table1[[#This Row],[2024 People trained in First Aid]])</f>
        <v>70</v>
      </c>
      <c r="K12" s="3" t="e">
        <f>Table1[[#This Row],[sum TRAINED ]]/Table1[[#This Row],[population 2023]]*100</f>
        <v>#DIV/0!</v>
      </c>
    </row>
    <row r="13" spans="1:11" x14ac:dyDescent="0.35">
      <c r="A13" t="s">
        <v>64</v>
      </c>
      <c r="B13">
        <v>3880</v>
      </c>
      <c r="C13">
        <v>4886</v>
      </c>
      <c r="D13">
        <v>5033</v>
      </c>
      <c r="E13" t="s">
        <v>218</v>
      </c>
      <c r="F13">
        <v>38957</v>
      </c>
      <c r="G13">
        <f>Table1[[#This Row],[2022 People trained in First Aid]]/Table1[[#This Row],[population 2023]]*100</f>
        <v>9.9596991554791181</v>
      </c>
      <c r="H13">
        <f>Table1[[#This Row],[2023 People trained in First Aid]]/Table1[[#This Row],[population 2023]]*100</f>
        <v>12.542033524142001</v>
      </c>
      <c r="I13">
        <f>Table1[[#This Row],[2024 People trained in First Aid]]/Table1[[#This Row],[population 2023]]*100</f>
        <v>12.919372641630517</v>
      </c>
      <c r="J13" s="3">
        <f>SUM(Table1[[#This Row],[2022 People trained in First Aid]],Table1[[#This Row],[2023 People trained in First Aid]],Table1[[#This Row],[2024 People trained in First Aid]])</f>
        <v>13799</v>
      </c>
      <c r="K13" s="3">
        <f>Table1[[#This Row],[sum TRAINED ]]/Table1[[#This Row],[population 2023]]*100</f>
        <v>35.421105321251638</v>
      </c>
    </row>
    <row r="14" spans="1:11" x14ac:dyDescent="0.35">
      <c r="A14" t="s">
        <v>99</v>
      </c>
      <c r="B14">
        <v>18672</v>
      </c>
      <c r="C14">
        <v>3830</v>
      </c>
      <c r="D14">
        <v>15865</v>
      </c>
      <c r="E14" t="s">
        <v>233</v>
      </c>
      <c r="F14">
        <v>216663</v>
      </c>
      <c r="G14">
        <f>Table1[[#This Row],[2022 People trained in First Aid]]/Table1[[#This Row],[population 2023]]*100</f>
        <v>8.6179919967876391</v>
      </c>
      <c r="H14">
        <f>Table1[[#This Row],[2023 People trained in First Aid]]/Table1[[#This Row],[population 2023]]*100</f>
        <v>1.767722222991466</v>
      </c>
      <c r="I14">
        <f>Table1[[#This Row],[2024 People trained in First Aid]]/Table1[[#This Row],[population 2023]]*100</f>
        <v>7.3224316103810985</v>
      </c>
      <c r="J14" s="3">
        <f>SUM(Table1[[#This Row],[2022 People trained in First Aid]],Table1[[#This Row],[2023 People trained in First Aid]],Table1[[#This Row],[2024 People trained in First Aid]])</f>
        <v>38367</v>
      </c>
      <c r="K14" s="3">
        <f>Table1[[#This Row],[sum TRAINED ]]/Table1[[#This Row],[population 2023]]*100</f>
        <v>17.708145830160202</v>
      </c>
    </row>
    <row r="15" spans="1:11" x14ac:dyDescent="0.35">
      <c r="A15" t="s">
        <v>156</v>
      </c>
      <c r="B15">
        <v>350000</v>
      </c>
      <c r="C15">
        <v>336456</v>
      </c>
      <c r="D15">
        <v>500000</v>
      </c>
      <c r="E15" t="s">
        <v>261</v>
      </c>
      <c r="F15">
        <v>9256314</v>
      </c>
      <c r="G15">
        <f>Table1[[#This Row],[2022 People trained in First Aid]]/Table1[[#This Row],[population 2023]]*100</f>
        <v>3.7812027552220031</v>
      </c>
      <c r="H15">
        <f>Table1[[#This Row],[2023 People trained in First Aid]]/Table1[[#This Row],[population 2023]]*100</f>
        <v>3.6348810120313555</v>
      </c>
      <c r="I15">
        <f>Table1[[#This Row],[2024 People trained in First Aid]]/Table1[[#This Row],[population 2023]]*100</f>
        <v>5.4017182217457185</v>
      </c>
      <c r="J15" s="3">
        <f>SUM(Table1[[#This Row],[2022 People trained in First Aid]],Table1[[#This Row],[2023 People trained in First Aid]],Table1[[#This Row],[2024 People trained in First Aid]])</f>
        <v>1186456</v>
      </c>
      <c r="K15" s="3">
        <f>Table1[[#This Row],[sum TRAINED ]]/Table1[[#This Row],[population 2023]]*100</f>
        <v>12.817801988999078</v>
      </c>
    </row>
    <row r="16" spans="1:11" x14ac:dyDescent="0.35">
      <c r="A16" t="s">
        <v>42</v>
      </c>
      <c r="B16">
        <v>358180</v>
      </c>
      <c r="C16">
        <v>275504</v>
      </c>
      <c r="D16">
        <v>385959</v>
      </c>
      <c r="E16" t="s">
        <v>291</v>
      </c>
      <c r="F16">
        <v>9130429</v>
      </c>
      <c r="G16">
        <f>Table1[[#This Row],[2022 People trained in First Aid]]/Table1[[#This Row],[population 2023]]*100</f>
        <v>3.9229262940437959</v>
      </c>
      <c r="H16">
        <f>Table1[[#This Row],[2023 People trained in First Aid]]/Table1[[#This Row],[population 2023]]*100</f>
        <v>3.0174266729416548</v>
      </c>
      <c r="I16">
        <f>Table1[[#This Row],[2024 People trained in First Aid]]/Table1[[#This Row],[population 2023]]*100</f>
        <v>4.2271726772093619</v>
      </c>
      <c r="J16" s="3">
        <f>SUM(Table1[[#This Row],[2022 People trained in First Aid]],Table1[[#This Row],[2023 People trained in First Aid]],Table1[[#This Row],[2024 People trained in First Aid]])</f>
        <v>1019643</v>
      </c>
      <c r="K16" s="3">
        <f>Table1[[#This Row],[sum TRAINED ]]/Table1[[#This Row],[population 2023]]*100</f>
        <v>11.167525644194813</v>
      </c>
    </row>
    <row r="17" spans="1:11" x14ac:dyDescent="0.35">
      <c r="A17" t="s">
        <v>31</v>
      </c>
      <c r="B17">
        <v>11402</v>
      </c>
      <c r="C17">
        <v>8848</v>
      </c>
      <c r="D17">
        <v>15656</v>
      </c>
      <c r="E17" t="s">
        <v>317</v>
      </c>
      <c r="F17">
        <v>387558</v>
      </c>
      <c r="G17">
        <f>Table1[[#This Row],[2022 People trained in First Aid]]/Table1[[#This Row],[population 2023]]*100</f>
        <v>2.9420112602500788</v>
      </c>
      <c r="H17">
        <f>Table1[[#This Row],[2023 People trained in First Aid]]/Table1[[#This Row],[population 2023]]*100</f>
        <v>2.2830131231970441</v>
      </c>
      <c r="I17">
        <f>Table1[[#This Row],[2024 People trained in First Aid]]/Table1[[#This Row],[population 2023]]*100</f>
        <v>4.0396534196171929</v>
      </c>
      <c r="J17" s="3">
        <f>SUM(Table1[[#This Row],[2022 People trained in First Aid]],Table1[[#This Row],[2023 People trained in First Aid]],Table1[[#This Row],[2024 People trained in First Aid]])</f>
        <v>35906</v>
      </c>
      <c r="K17" s="3">
        <f>Table1[[#This Row],[sum TRAINED ]]/Table1[[#This Row],[population 2023]]*100</f>
        <v>9.2646778030643162</v>
      </c>
    </row>
    <row r="18" spans="1:11" x14ac:dyDescent="0.35">
      <c r="A18" t="s">
        <v>144</v>
      </c>
      <c r="B18">
        <v>4800905</v>
      </c>
      <c r="C18">
        <v>1557068</v>
      </c>
      <c r="D18">
        <v>501777</v>
      </c>
      <c r="E18" t="s">
        <v>256</v>
      </c>
      <c r="F18">
        <v>87270502</v>
      </c>
      <c r="G18">
        <f>Table1[[#This Row],[2022 People trained in First Aid]]/Table1[[#This Row],[population 2023]]*100</f>
        <v>5.5011772477256979</v>
      </c>
      <c r="H18">
        <f>Table1[[#This Row],[2023 People trained in First Aid]]/Table1[[#This Row],[population 2023]]*100</f>
        <v>1.7841859096903099</v>
      </c>
      <c r="I18">
        <f>Table1[[#This Row],[2024 People trained in First Aid]]/Table1[[#This Row],[population 2023]]*100</f>
        <v>0.57496747297271189</v>
      </c>
      <c r="J18" s="3">
        <f>SUM(Table1[[#This Row],[2022 People trained in First Aid]],Table1[[#This Row],[2023 People trained in First Aid]],Table1[[#This Row],[2024 People trained in First Aid]])</f>
        <v>6859750</v>
      </c>
      <c r="K18" s="3">
        <f>Table1[[#This Row],[sum TRAINED ]]/Table1[[#This Row],[population 2023]]*100</f>
        <v>7.8603306303887193</v>
      </c>
    </row>
    <row r="19" spans="1:11" x14ac:dyDescent="0.35">
      <c r="A19" t="s">
        <v>46</v>
      </c>
      <c r="B19">
        <v>47315</v>
      </c>
      <c r="C19">
        <v>152222</v>
      </c>
      <c r="D19">
        <v>103255</v>
      </c>
      <c r="E19" t="s">
        <v>303</v>
      </c>
      <c r="F19">
        <v>3896024</v>
      </c>
      <c r="G19">
        <f>Table1[[#This Row],[2022 People trained in First Aid]]/Table1[[#This Row],[population 2023]]*100</f>
        <v>1.2144432375159906</v>
      </c>
      <c r="H19">
        <f>Table1[[#This Row],[2023 People trained in First Aid]]/Table1[[#This Row],[population 2023]]*100</f>
        <v>3.9071114551655741</v>
      </c>
      <c r="I19">
        <f>Table1[[#This Row],[2024 People trained in First Aid]]/Table1[[#This Row],[population 2023]]*100</f>
        <v>2.6502660147884098</v>
      </c>
      <c r="J19" s="3">
        <f>SUM(Table1[[#This Row],[2022 People trained in First Aid]],Table1[[#This Row],[2023 People trained in First Aid]],Table1[[#This Row],[2024 People trained in First Aid]])</f>
        <v>302792</v>
      </c>
      <c r="K19" s="3">
        <f>Table1[[#This Row],[sum TRAINED ]]/Table1[[#This Row],[population 2023]]*100</f>
        <v>7.7718207074699741</v>
      </c>
    </row>
    <row r="20" spans="1:11" x14ac:dyDescent="0.35">
      <c r="A20" t="s">
        <v>155</v>
      </c>
      <c r="B20">
        <v>71638</v>
      </c>
      <c r="C20">
        <v>77400</v>
      </c>
      <c r="D20">
        <v>51772</v>
      </c>
      <c r="E20" t="s">
        <v>286</v>
      </c>
      <c r="F20">
        <v>2811655</v>
      </c>
      <c r="G20">
        <f>Table1[[#This Row],[2022 People trained in First Aid]]/Table1[[#This Row],[population 2023]]*100</f>
        <v>2.5478943896032762</v>
      </c>
      <c r="H20">
        <f>Table1[[#This Row],[2023 People trained in First Aid]]/Table1[[#This Row],[population 2023]]*100</f>
        <v>2.7528270716001786</v>
      </c>
      <c r="I20">
        <f>Table1[[#This Row],[2024 People trained in First Aid]]/Table1[[#This Row],[population 2023]]*100</f>
        <v>1.8413354412258973</v>
      </c>
      <c r="J20" s="3">
        <f>SUM(Table1[[#This Row],[2022 People trained in First Aid]],Table1[[#This Row],[2023 People trained in First Aid]],Table1[[#This Row],[2024 People trained in First Aid]])</f>
        <v>200810</v>
      </c>
      <c r="K20" s="3">
        <f>Table1[[#This Row],[sum TRAINED ]]/Table1[[#This Row],[population 2023]]*100</f>
        <v>7.1420569024293519</v>
      </c>
    </row>
    <row r="21" spans="1:11" x14ac:dyDescent="0.35">
      <c r="A21" t="s">
        <v>34</v>
      </c>
      <c r="B21">
        <v>1800000</v>
      </c>
      <c r="C21">
        <v>1800000</v>
      </c>
      <c r="D21">
        <v>1700000</v>
      </c>
      <c r="E21" t="s">
        <v>201</v>
      </c>
      <c r="F21">
        <v>84548231</v>
      </c>
      <c r="G21">
        <f>Table1[[#This Row],[2022 People trained in First Aid]]/Table1[[#This Row],[population 2023]]*100</f>
        <v>2.1289623433990004</v>
      </c>
      <c r="H21">
        <f>Table1[[#This Row],[2023 People trained in First Aid]]/Table1[[#This Row],[population 2023]]*100</f>
        <v>2.1289623433990004</v>
      </c>
      <c r="I21">
        <f>Table1[[#This Row],[2024 People trained in First Aid]]/Table1[[#This Row],[population 2023]]*100</f>
        <v>2.0106866576546114</v>
      </c>
      <c r="J21" s="3">
        <f>SUM(Table1[[#This Row],[2022 People trained in First Aid]],Table1[[#This Row],[2023 People trained in First Aid]],Table1[[#This Row],[2024 People trained in First Aid]])</f>
        <v>5300000</v>
      </c>
      <c r="K21" s="3">
        <f>Table1[[#This Row],[sum TRAINED ]]/Table1[[#This Row],[population 2023]]*100</f>
        <v>6.2686113444526121</v>
      </c>
    </row>
    <row r="22" spans="1:11" x14ac:dyDescent="0.35">
      <c r="A22" t="s">
        <v>98</v>
      </c>
      <c r="B22">
        <v>89276</v>
      </c>
      <c r="C22">
        <v>94000</v>
      </c>
      <c r="D22">
        <v>100000</v>
      </c>
      <c r="E22" t="s">
        <v>312</v>
      </c>
      <c r="F22">
        <v>5601186</v>
      </c>
      <c r="G22">
        <f>Table1[[#This Row],[2022 People trained in First Aid]]/Table1[[#This Row],[population 2023]]*100</f>
        <v>1.5938767253935151</v>
      </c>
      <c r="H22">
        <f>Table1[[#This Row],[2023 People trained in First Aid]]/Table1[[#This Row],[population 2023]]*100</f>
        <v>1.6782160063957881</v>
      </c>
      <c r="I22">
        <f>Table1[[#This Row],[2024 People trained in First Aid]]/Table1[[#This Row],[population 2023]]*100</f>
        <v>1.7853361770167961</v>
      </c>
      <c r="J22" s="3">
        <f>SUM(Table1[[#This Row],[2022 People trained in First Aid]],Table1[[#This Row],[2023 People trained in First Aid]],Table1[[#This Row],[2024 People trained in First Aid]])</f>
        <v>283276</v>
      </c>
      <c r="K22" s="3">
        <f>Table1[[#This Row],[sum TRAINED ]]/Table1[[#This Row],[population 2023]]*100</f>
        <v>5.0574289088060986</v>
      </c>
    </row>
    <row r="23" spans="1:11" x14ac:dyDescent="0.35">
      <c r="A23" t="s">
        <v>136</v>
      </c>
      <c r="B23">
        <v>2906260</v>
      </c>
      <c r="C23">
        <v>1360491</v>
      </c>
      <c r="D23">
        <v>60000</v>
      </c>
      <c r="E23" t="s">
        <v>253</v>
      </c>
      <c r="F23">
        <v>90608707</v>
      </c>
      <c r="G23">
        <f>Table1[[#This Row],[2022 People trained in First Aid]]/Table1[[#This Row],[population 2023]]*100</f>
        <v>3.2074842432085471</v>
      </c>
      <c r="H23">
        <f>Table1[[#This Row],[2023 People trained in First Aid]]/Table1[[#This Row],[population 2023]]*100</f>
        <v>1.5015013954453627</v>
      </c>
      <c r="I23">
        <f>Table1[[#This Row],[2024 People trained in First Aid]]/Table1[[#This Row],[population 2023]]*100</f>
        <v>6.621880168756851E-2</v>
      </c>
      <c r="J23" s="3">
        <f>SUM(Table1[[#This Row],[2022 People trained in First Aid]],Table1[[#This Row],[2023 People trained in First Aid]],Table1[[#This Row],[2024 People trained in First Aid]])</f>
        <v>4326751</v>
      </c>
      <c r="K23" s="3">
        <f>Table1[[#This Row],[sum TRAINED ]]/Table1[[#This Row],[population 2023]]*100</f>
        <v>4.7752044403414784</v>
      </c>
    </row>
    <row r="24" spans="1:11" x14ac:dyDescent="0.35">
      <c r="A24" t="s">
        <v>182</v>
      </c>
      <c r="B24">
        <v>32867</v>
      </c>
      <c r="C24">
        <v>35738</v>
      </c>
      <c r="D24">
        <v>32064</v>
      </c>
      <c r="E24" t="s">
        <v>345</v>
      </c>
      <c r="F24">
        <v>2118396</v>
      </c>
      <c r="G24">
        <f>Table1[[#This Row],[2022 People trained in First Aid]]/Table1[[#This Row],[population 2023]]*100</f>
        <v>1.5515040625076708</v>
      </c>
      <c r="H24">
        <f>Table1[[#This Row],[2023 People trained in First Aid]]/Table1[[#This Row],[population 2023]]*100</f>
        <v>1.6870311311010782</v>
      </c>
      <c r="I24">
        <f>Table1[[#This Row],[2024 People trained in First Aid]]/Table1[[#This Row],[population 2023]]*100</f>
        <v>1.5135980241654534</v>
      </c>
      <c r="J24" s="3">
        <f>SUM(Table1[[#This Row],[2022 People trained in First Aid]],Table1[[#This Row],[2023 People trained in First Aid]],Table1[[#This Row],[2024 People trained in First Aid]])</f>
        <v>100669</v>
      </c>
      <c r="K24" s="3">
        <f>Table1[[#This Row],[sum TRAINED ]]/Table1[[#This Row],[population 2023]]*100</f>
        <v>4.7521332177742028</v>
      </c>
    </row>
    <row r="25" spans="1:11" x14ac:dyDescent="0.35">
      <c r="A25" t="s">
        <v>3</v>
      </c>
      <c r="B25">
        <v>24492</v>
      </c>
      <c r="C25">
        <v>27486</v>
      </c>
      <c r="D25">
        <v>28152</v>
      </c>
      <c r="E25" t="s">
        <v>278</v>
      </c>
      <c r="F25" s="2">
        <v>1831802</v>
      </c>
      <c r="G25">
        <f>Table1[[#This Row],[2022 People trained in First Aid]]/Table1[[#This Row],[population 2023]]*100</f>
        <v>1.3370440691734149</v>
      </c>
      <c r="H25">
        <f>Table1[[#This Row],[2023 People trained in First Aid]]/Table1[[#This Row],[population 2023]]*100</f>
        <v>1.5004896817450795</v>
      </c>
      <c r="I25">
        <f>Table1[[#This Row],[2024 People trained in First Aid]]/Table1[[#This Row],[population 2023]]*100</f>
        <v>1.536847323018536</v>
      </c>
      <c r="J25" s="3">
        <f>SUM(Table1[[#This Row],[2022 People trained in First Aid]],Table1[[#This Row],[2023 People trained in First Aid]],Table1[[#This Row],[2024 People trained in First Aid]])</f>
        <v>80130</v>
      </c>
      <c r="K25" s="3">
        <f>Table1[[#This Row],[sum TRAINED ]]/Table1[[#This Row],[population 2023]]*100</f>
        <v>4.3743810739370304</v>
      </c>
    </row>
    <row r="26" spans="1:11" x14ac:dyDescent="0.35">
      <c r="A26" t="s">
        <v>126</v>
      </c>
      <c r="B26">
        <v>854142</v>
      </c>
      <c r="C26">
        <v>854142</v>
      </c>
      <c r="D26">
        <v>0</v>
      </c>
      <c r="E26" t="s">
        <v>247</v>
      </c>
      <c r="F26">
        <v>39299105</v>
      </c>
      <c r="G26">
        <f>Table1[[#This Row],[2022 People trained in First Aid]]/Table1[[#This Row],[population 2023]]*100</f>
        <v>2.1734388098660262</v>
      </c>
      <c r="H26">
        <f>Table1[[#This Row],[2023 People trained in First Aid]]/Table1[[#This Row],[population 2023]]*100</f>
        <v>2.1734388098660262</v>
      </c>
      <c r="I26">
        <f>Table1[[#This Row],[2024 People trained in First Aid]]/Table1[[#This Row],[population 2023]]*100</f>
        <v>0</v>
      </c>
      <c r="J26" s="3">
        <f>SUM(Table1[[#This Row],[2022 People trained in First Aid]],Table1[[#This Row],[2023 People trained in First Aid]],Table1[[#This Row],[2024 People trained in First Aid]])</f>
        <v>1708284</v>
      </c>
      <c r="K26" s="3">
        <f>Table1[[#This Row],[sum TRAINED ]]/Table1[[#This Row],[population 2023]]*100</f>
        <v>4.3468776197320524</v>
      </c>
    </row>
    <row r="27" spans="1:11" x14ac:dyDescent="0.35">
      <c r="A27" t="s">
        <v>20</v>
      </c>
      <c r="B27">
        <v>43228</v>
      </c>
      <c r="C27">
        <v>46273</v>
      </c>
      <c r="D27">
        <v>45328</v>
      </c>
      <c r="E27" t="s">
        <v>193</v>
      </c>
      <c r="F27">
        <v>3185073</v>
      </c>
      <c r="G27">
        <f>Table1[[#This Row],[2022 People trained in First Aid]]/Table1[[#This Row],[population 2023]]*100</f>
        <v>1.3572059415906637</v>
      </c>
      <c r="H27">
        <f>Table1[[#This Row],[2023 People trained in First Aid]]/Table1[[#This Row],[population 2023]]*100</f>
        <v>1.4528081459985376</v>
      </c>
      <c r="I27">
        <f>Table1[[#This Row],[2024 People trained in First Aid]]/Table1[[#This Row],[population 2023]]*100</f>
        <v>1.4231384963547147</v>
      </c>
      <c r="J27" s="3">
        <f>SUM(Table1[[#This Row],[2022 People trained in First Aid]],Table1[[#This Row],[2023 People trained in First Aid]],Table1[[#This Row],[2024 People trained in First Aid]])</f>
        <v>134829</v>
      </c>
      <c r="K27" s="3">
        <f>Table1[[#This Row],[sum TRAINED ]]/Table1[[#This Row],[population 2023]]*100</f>
        <v>4.2331525839439159</v>
      </c>
    </row>
    <row r="28" spans="1:11" x14ac:dyDescent="0.35">
      <c r="A28" t="s">
        <v>123</v>
      </c>
      <c r="B28">
        <v>21059</v>
      </c>
      <c r="C28">
        <v>22159</v>
      </c>
      <c r="D28">
        <v>11243</v>
      </c>
      <c r="E28" t="s">
        <v>310</v>
      </c>
      <c r="F28">
        <v>1367196</v>
      </c>
      <c r="G28">
        <f>Table1[[#This Row],[2022 People trained in First Aid]]/Table1[[#This Row],[population 2023]]*100</f>
        <v>1.5403058522699014</v>
      </c>
      <c r="H28">
        <f>Table1[[#This Row],[2023 People trained in First Aid]]/Table1[[#This Row],[population 2023]]*100</f>
        <v>1.6207624949166031</v>
      </c>
      <c r="I28">
        <f>Table1[[#This Row],[2024 People trained in First Aid]]/Table1[[#This Row],[population 2023]]*100</f>
        <v>0.82234003025169755</v>
      </c>
      <c r="J28" s="3">
        <f>SUM(Table1[[#This Row],[2022 People trained in First Aid]],Table1[[#This Row],[2023 People trained in First Aid]],Table1[[#This Row],[2024 People trained in First Aid]])</f>
        <v>54461</v>
      </c>
      <c r="K28" s="3">
        <f>Table1[[#This Row],[sum TRAINED ]]/Table1[[#This Row],[population 2023]]*100</f>
        <v>3.9834083774382023</v>
      </c>
    </row>
    <row r="29" spans="1:11" x14ac:dyDescent="0.35">
      <c r="A29" t="s">
        <v>44</v>
      </c>
      <c r="B29">
        <v>3295324</v>
      </c>
      <c r="C29">
        <v>4522513</v>
      </c>
      <c r="D29">
        <v>5783690</v>
      </c>
      <c r="E29" t="s">
        <v>206</v>
      </c>
      <c r="F29">
        <v>343477335</v>
      </c>
      <c r="G29">
        <f>Table1[[#This Row],[2022 People trained in First Aid]]/Table1[[#This Row],[population 2023]]*100</f>
        <v>0.95940071271369332</v>
      </c>
      <c r="H29">
        <f>Table1[[#This Row],[2023 People trained in First Aid]]/Table1[[#This Row],[population 2023]]*100</f>
        <v>1.3166845492148704</v>
      </c>
      <c r="I29">
        <f>Table1[[#This Row],[2024 People trained in First Aid]]/Table1[[#This Row],[population 2023]]*100</f>
        <v>1.683863652895758</v>
      </c>
      <c r="J29" s="3">
        <f>SUM(Table1[[#This Row],[2022 People trained in First Aid]],Table1[[#This Row],[2023 People trained in First Aid]],Table1[[#This Row],[2024 People trained in First Aid]])</f>
        <v>13601527</v>
      </c>
      <c r="K29" s="3">
        <f>Table1[[#This Row],[sum TRAINED ]]/Table1[[#This Row],[population 2023]]*100</f>
        <v>3.9599489148243219</v>
      </c>
    </row>
    <row r="30" spans="1:11" x14ac:dyDescent="0.35">
      <c r="A30" t="s">
        <v>40</v>
      </c>
      <c r="B30">
        <v>61183</v>
      </c>
      <c r="C30">
        <v>68915</v>
      </c>
      <c r="D30">
        <v>68648</v>
      </c>
      <c r="E30" t="s">
        <v>204</v>
      </c>
      <c r="F30">
        <v>5172836</v>
      </c>
      <c r="G30">
        <f>Table1[[#This Row],[2022 People trained in First Aid]]/Table1[[#This Row],[population 2023]]*100</f>
        <v>1.182774787370023</v>
      </c>
      <c r="H30">
        <f>Table1[[#This Row],[2023 People trained in First Aid]]/Table1[[#This Row],[population 2023]]*100</f>
        <v>1.3322479197098072</v>
      </c>
      <c r="I30">
        <f>Table1[[#This Row],[2024 People trained in First Aid]]/Table1[[#This Row],[population 2023]]*100</f>
        <v>1.3270863410322693</v>
      </c>
      <c r="J30" s="3">
        <f>SUM(Table1[[#This Row],[2022 People trained in First Aid]],Table1[[#This Row],[2023 People trained in First Aid]],Table1[[#This Row],[2024 People trained in First Aid]])</f>
        <v>198746</v>
      </c>
      <c r="K30" s="3">
        <f>Table1[[#This Row],[sum TRAINED ]]/Table1[[#This Row],[population 2023]]*100</f>
        <v>3.8421090481120994</v>
      </c>
    </row>
    <row r="31" spans="1:11" x14ac:dyDescent="0.35">
      <c r="A31" t="s">
        <v>32</v>
      </c>
      <c r="B31">
        <v>108993</v>
      </c>
      <c r="C31">
        <v>110596</v>
      </c>
      <c r="D31">
        <v>116124</v>
      </c>
      <c r="E31" t="s">
        <v>200</v>
      </c>
      <c r="F31">
        <v>8870561</v>
      </c>
      <c r="G31">
        <f>Table1[[#This Row],[2022 People trained in First Aid]]/Table1[[#This Row],[population 2023]]*100</f>
        <v>1.2287047008639025</v>
      </c>
      <c r="H31">
        <f>Table1[[#This Row],[2023 People trained in First Aid]]/Table1[[#This Row],[population 2023]]*100</f>
        <v>1.2467757112543389</v>
      </c>
      <c r="I31">
        <f>Table1[[#This Row],[2024 People trained in First Aid]]/Table1[[#This Row],[population 2023]]*100</f>
        <v>1.3090942049775658</v>
      </c>
      <c r="J31" s="3">
        <f>SUM(Table1[[#This Row],[2022 People trained in First Aid]],Table1[[#This Row],[2023 People trained in First Aid]],Table1[[#This Row],[2024 People trained in First Aid]])</f>
        <v>335713</v>
      </c>
      <c r="K31" s="3">
        <f>Table1[[#This Row],[sum TRAINED ]]/Table1[[#This Row],[population 2023]]*100</f>
        <v>3.7845746170958074</v>
      </c>
    </row>
    <row r="32" spans="1:11" x14ac:dyDescent="0.35">
      <c r="A32" t="s">
        <v>122</v>
      </c>
      <c r="B32">
        <v>17093</v>
      </c>
      <c r="C32">
        <v>17556</v>
      </c>
      <c r="D32">
        <v>66419</v>
      </c>
      <c r="E32" t="s">
        <v>327</v>
      </c>
      <c r="F32">
        <v>2854099</v>
      </c>
      <c r="G32">
        <f>Table1[[#This Row],[2022 People trained in First Aid]]/Table1[[#This Row],[population 2023]]*100</f>
        <v>0.5988930306902458</v>
      </c>
      <c r="H32">
        <f>Table1[[#This Row],[2023 People trained in First Aid]]/Table1[[#This Row],[population 2023]]*100</f>
        <v>0.61511531309880985</v>
      </c>
      <c r="I32">
        <f>Table1[[#This Row],[2024 People trained in First Aid]]/Table1[[#This Row],[population 2023]]*100</f>
        <v>2.3271442230980774</v>
      </c>
      <c r="J32" s="3">
        <f>SUM(Table1[[#This Row],[2022 People trained in First Aid]],Table1[[#This Row],[2023 People trained in First Aid]],Table1[[#This Row],[2024 People trained in First Aid]])</f>
        <v>101068</v>
      </c>
      <c r="K32" s="3">
        <f>Table1[[#This Row],[sum TRAINED ]]/Table1[[#This Row],[population 2023]]*100</f>
        <v>3.5411525668871331</v>
      </c>
    </row>
    <row r="33" spans="1:11" x14ac:dyDescent="0.35">
      <c r="A33" t="s">
        <v>161</v>
      </c>
      <c r="B33">
        <v>21080</v>
      </c>
      <c r="C33">
        <v>1412518</v>
      </c>
      <c r="D33">
        <v>28632</v>
      </c>
      <c r="E33" t="s">
        <v>319</v>
      </c>
      <c r="F33">
        <v>45074049</v>
      </c>
      <c r="G33">
        <f>Table1[[#This Row],[2022 People trained in First Aid]]/Table1[[#This Row],[population 2023]]*100</f>
        <v>4.6767486985693253E-2</v>
      </c>
      <c r="H33">
        <f>Table1[[#This Row],[2023 People trained in First Aid]]/Table1[[#This Row],[population 2023]]*100</f>
        <v>3.1337721623366921</v>
      </c>
      <c r="I33">
        <f>Table1[[#This Row],[2024 People trained in First Aid]]/Table1[[#This Row],[population 2023]]*100</f>
        <v>6.352213886975186E-2</v>
      </c>
      <c r="J33" s="3">
        <f>SUM(Table1[[#This Row],[2022 People trained in First Aid]],Table1[[#This Row],[2023 People trained in First Aid]],Table1[[#This Row],[2024 People trained in First Aid]])</f>
        <v>1462230</v>
      </c>
      <c r="K33" s="3">
        <f>Table1[[#This Row],[sum TRAINED ]]/Table1[[#This Row],[population 2023]]*100</f>
        <v>3.2440617881921368</v>
      </c>
    </row>
    <row r="34" spans="1:11" x14ac:dyDescent="0.35">
      <c r="A34" t="s">
        <v>84</v>
      </c>
      <c r="B34">
        <v>1463</v>
      </c>
      <c r="C34">
        <v>1291</v>
      </c>
      <c r="D34">
        <v>1432</v>
      </c>
      <c r="E34" t="s">
        <v>228</v>
      </c>
      <c r="F34">
        <v>132531</v>
      </c>
      <c r="G34">
        <f>Table1[[#This Row],[2022 People trained in First Aid]]/Table1[[#This Row],[population 2023]]*100</f>
        <v>1.1038926741667987</v>
      </c>
      <c r="H34">
        <f>Table1[[#This Row],[2023 People trained in First Aid]]/Table1[[#This Row],[population 2023]]*100</f>
        <v>0.97411171725860357</v>
      </c>
      <c r="I34">
        <f>Table1[[#This Row],[2024 People trained in First Aid]]/Table1[[#This Row],[population 2023]]*100</f>
        <v>1.080501920305438</v>
      </c>
      <c r="J34" s="3">
        <f>SUM(Table1[[#This Row],[2022 People trained in First Aid]],Table1[[#This Row],[2023 People trained in First Aid]],Table1[[#This Row],[2024 People trained in First Aid]])</f>
        <v>4186</v>
      </c>
      <c r="K34" s="3">
        <f>Table1[[#This Row],[sum TRAINED ]]/Table1[[#This Row],[population 2023]]*100</f>
        <v>3.1585063117308403</v>
      </c>
    </row>
    <row r="35" spans="1:11" x14ac:dyDescent="0.35">
      <c r="A35" t="s">
        <v>16</v>
      </c>
      <c r="B35">
        <v>6916</v>
      </c>
      <c r="C35">
        <v>4840</v>
      </c>
      <c r="D35">
        <v>8081</v>
      </c>
      <c r="E35" t="s">
        <v>189</v>
      </c>
      <c r="F35">
        <v>633552</v>
      </c>
      <c r="G35">
        <f>Table1[[#This Row],[2022 People trained in First Aid]]/Table1[[#This Row],[population 2023]]*100</f>
        <v>1.09162310276031</v>
      </c>
      <c r="H35">
        <f>Table1[[#This Row],[2023 People trained in First Aid]]/Table1[[#This Row],[population 2023]]*100</f>
        <v>0.76394676364371039</v>
      </c>
      <c r="I35">
        <f>Table1[[#This Row],[2024 People trained in First Aid]]/Table1[[#This Row],[population 2023]]*100</f>
        <v>1.2755069828522363</v>
      </c>
      <c r="J35" s="3">
        <f>SUM(Table1[[#This Row],[2022 People trained in First Aid]],Table1[[#This Row],[2023 People trained in First Aid]],Table1[[#This Row],[2024 People trained in First Aid]])</f>
        <v>19837</v>
      </c>
      <c r="K35" s="3">
        <f>Table1[[#This Row],[sum TRAINED ]]/Table1[[#This Row],[population 2023]]*100</f>
        <v>3.1310768492562571</v>
      </c>
    </row>
    <row r="36" spans="1:11" x14ac:dyDescent="0.35">
      <c r="A36" t="s">
        <v>37</v>
      </c>
      <c r="B36">
        <v>68314</v>
      </c>
      <c r="C36">
        <v>70235</v>
      </c>
      <c r="D36">
        <v>70342</v>
      </c>
      <c r="E36" t="s">
        <v>295</v>
      </c>
      <c r="F36">
        <v>6795803</v>
      </c>
      <c r="G36">
        <f>Table1[[#This Row],[2022 People trained in First Aid]]/Table1[[#This Row],[population 2023]]*100</f>
        <v>1.0052380859186176</v>
      </c>
      <c r="H36">
        <f>Table1[[#This Row],[2023 People trained in First Aid]]/Table1[[#This Row],[population 2023]]*100</f>
        <v>1.0335055327530829</v>
      </c>
      <c r="I36">
        <f>Table1[[#This Row],[2024 People trained in First Aid]]/Table1[[#This Row],[population 2023]]*100</f>
        <v>1.035080033956252</v>
      </c>
      <c r="J36" s="3">
        <f>SUM(Table1[[#This Row],[2022 People trained in First Aid]],Table1[[#This Row],[2023 People trained in First Aid]],Table1[[#This Row],[2024 People trained in First Aid]])</f>
        <v>208891</v>
      </c>
      <c r="K36" s="3">
        <f>Table1[[#This Row],[sum TRAINED ]]/Table1[[#This Row],[population 2023]]*100</f>
        <v>3.073823652627953</v>
      </c>
    </row>
    <row r="37" spans="1:11" x14ac:dyDescent="0.35">
      <c r="A37" t="s">
        <v>153</v>
      </c>
      <c r="B37">
        <v>78451</v>
      </c>
      <c r="C37">
        <v>67937</v>
      </c>
      <c r="D37">
        <v>188125</v>
      </c>
      <c r="E37" t="s">
        <v>304</v>
      </c>
      <c r="F37">
        <v>11019931</v>
      </c>
      <c r="G37">
        <f>Table1[[#This Row],[2022 People trained in First Aid]]/Table1[[#This Row],[population 2023]]*100</f>
        <v>0.71190100918054755</v>
      </c>
      <c r="H37">
        <f>Table1[[#This Row],[2023 People trained in First Aid]]/Table1[[#This Row],[population 2023]]*100</f>
        <v>0.61649206333506079</v>
      </c>
      <c r="I37">
        <f>Table1[[#This Row],[2024 People trained in First Aid]]/Table1[[#This Row],[population 2023]]*100</f>
        <v>1.707134100930396</v>
      </c>
      <c r="J37" s="3">
        <f>SUM(Table1[[#This Row],[2022 People trained in First Aid]],Table1[[#This Row],[2023 People trained in First Aid]],Table1[[#This Row],[2024 People trained in First Aid]])</f>
        <v>334513</v>
      </c>
      <c r="K37" s="3">
        <f>Table1[[#This Row],[sum TRAINED ]]/Table1[[#This Row],[population 2023]]*100</f>
        <v>3.0355271734460043</v>
      </c>
    </row>
    <row r="38" spans="1:11" x14ac:dyDescent="0.35">
      <c r="A38" t="s">
        <v>55</v>
      </c>
      <c r="B38">
        <v>101904</v>
      </c>
      <c r="C38">
        <v>85381</v>
      </c>
      <c r="D38">
        <v>81551</v>
      </c>
      <c r="E38" t="s">
        <v>316</v>
      </c>
      <c r="F38">
        <v>9686464</v>
      </c>
      <c r="G38">
        <f>Table1[[#This Row],[2022 People trained in First Aid]]/Table1[[#This Row],[population 2023]]*100</f>
        <v>1.0520247636289155</v>
      </c>
      <c r="H38">
        <f>Table1[[#This Row],[2023 People trained in First Aid]]/Table1[[#This Row],[population 2023]]*100</f>
        <v>0.88144652166156812</v>
      </c>
      <c r="I38">
        <f>Table1[[#This Row],[2024 People trained in First Aid]]/Table1[[#This Row],[population 2023]]*100</f>
        <v>0.84190680933723605</v>
      </c>
      <c r="J38" s="3">
        <f>SUM(Table1[[#This Row],[2022 People trained in First Aid]],Table1[[#This Row],[2023 People trained in First Aid]],Table1[[#This Row],[2024 People trained in First Aid]])</f>
        <v>268836</v>
      </c>
      <c r="K38" s="3">
        <f>Table1[[#This Row],[sum TRAINED ]]/Table1[[#This Row],[population 2023]]*100</f>
        <v>2.7753780946277198</v>
      </c>
    </row>
    <row r="39" spans="1:11" x14ac:dyDescent="0.35">
      <c r="A39" t="s">
        <v>85</v>
      </c>
      <c r="B39">
        <v>19555</v>
      </c>
      <c r="C39">
        <v>34255</v>
      </c>
      <c r="D39">
        <v>37631</v>
      </c>
      <c r="E39" t="s">
        <v>333</v>
      </c>
      <c r="F39">
        <v>3431933</v>
      </c>
      <c r="G39">
        <f>Table1[[#This Row],[2022 People trained in First Aid]]/Table1[[#This Row],[population 2023]]*100</f>
        <v>0.56979550591459682</v>
      </c>
      <c r="H39">
        <f>Table1[[#This Row],[2023 People trained in First Aid]]/Table1[[#This Row],[population 2023]]*100</f>
        <v>0.99812554615722404</v>
      </c>
      <c r="I39">
        <f>Table1[[#This Row],[2024 People trained in First Aid]]/Table1[[#This Row],[population 2023]]*100</f>
        <v>1.0964957649231497</v>
      </c>
      <c r="J39" s="3">
        <f>SUM(Table1[[#This Row],[2022 People trained in First Aid]],Table1[[#This Row],[2023 People trained in First Aid]],Table1[[#This Row],[2024 People trained in First Aid]])</f>
        <v>91441</v>
      </c>
      <c r="K39" s="3">
        <f>Table1[[#This Row],[sum TRAINED ]]/Table1[[#This Row],[population 2023]]*100</f>
        <v>2.6644168169949705</v>
      </c>
    </row>
    <row r="40" spans="1:11" s="4" customFormat="1" x14ac:dyDescent="0.35">
      <c r="A40" s="4" t="s">
        <v>115</v>
      </c>
      <c r="B40" s="4">
        <v>77081</v>
      </c>
      <c r="C40" s="4">
        <v>105665</v>
      </c>
      <c r="D40" s="4">
        <v>105809</v>
      </c>
      <c r="E40" s="4" t="s">
        <v>243</v>
      </c>
      <c r="F40" s="4">
        <v>11712893</v>
      </c>
      <c r="G40" s="4">
        <f>Table1[[#This Row],[2022 People trained in First Aid]]/Table1[[#This Row],[population 2023]]*100</f>
        <v>0.65808677668275462</v>
      </c>
      <c r="H40" s="4">
        <f>Table1[[#This Row],[2023 People trained in First Aid]]/Table1[[#This Row],[population 2023]]*100</f>
        <v>0.90212554660919386</v>
      </c>
      <c r="I40" s="4">
        <f>Table1[[#This Row],[2024 People trained in First Aid]]/Table1[[#This Row],[population 2023]]*100</f>
        <v>0.90335496106726154</v>
      </c>
      <c r="J40" s="5">
        <f>SUM(Table1[[#This Row],[2022 People trained in First Aid]],Table1[[#This Row],[2023 People trained in First Aid]],Table1[[#This Row],[2024 People trained in First Aid]])</f>
        <v>288555</v>
      </c>
      <c r="K40" s="5">
        <f>Table1[[#This Row],[sum TRAINED ]]/Table1[[#This Row],[population 2023]]*100</f>
        <v>2.4635672843592098</v>
      </c>
    </row>
    <row r="41" spans="1:11" x14ac:dyDescent="0.35">
      <c r="A41" t="s">
        <v>63</v>
      </c>
      <c r="B41">
        <v>41835</v>
      </c>
      <c r="C41">
        <v>53635</v>
      </c>
      <c r="D41">
        <v>39377</v>
      </c>
      <c r="E41" t="s">
        <v>344</v>
      </c>
      <c r="F41">
        <v>5518055</v>
      </c>
      <c r="G41">
        <f>Table1[[#This Row],[2022 People trained in First Aid]]/Table1[[#This Row],[population 2023]]*100</f>
        <v>0.75814757192525262</v>
      </c>
      <c r="H41">
        <f>Table1[[#This Row],[2023 People trained in First Aid]]/Table1[[#This Row],[population 2023]]*100</f>
        <v>0.97199103669680709</v>
      </c>
      <c r="I41">
        <f>Table1[[#This Row],[2024 People trained in First Aid]]/Table1[[#This Row],[population 2023]]*100</f>
        <v>0.71360289087368645</v>
      </c>
      <c r="J41" s="3">
        <f>SUM(Table1[[#This Row],[2022 People trained in First Aid]],Table1[[#This Row],[2023 People trained in First Aid]],Table1[[#This Row],[2024 People trained in First Aid]])</f>
        <v>134847</v>
      </c>
      <c r="K41" s="3">
        <f>Table1[[#This Row],[sum TRAINED ]]/Table1[[#This Row],[population 2023]]*100</f>
        <v>2.4437414994957463</v>
      </c>
    </row>
    <row r="42" spans="1:11" x14ac:dyDescent="0.35">
      <c r="A42" t="s">
        <v>35</v>
      </c>
      <c r="B42">
        <v>45000</v>
      </c>
      <c r="C42">
        <v>50000</v>
      </c>
      <c r="D42">
        <v>48747</v>
      </c>
      <c r="E42" t="s">
        <v>306</v>
      </c>
      <c r="F42">
        <v>5948137</v>
      </c>
      <c r="G42">
        <f>Table1[[#This Row],[2022 People trained in First Aid]]/Table1[[#This Row],[population 2023]]*100</f>
        <v>0.75653940048791746</v>
      </c>
      <c r="H42">
        <f>Table1[[#This Row],[2023 People trained in First Aid]]/Table1[[#This Row],[population 2023]]*100</f>
        <v>0.84059933387546393</v>
      </c>
      <c r="I42">
        <f>Table1[[#This Row],[2024 People trained in First Aid]]/Table1[[#This Row],[population 2023]]*100</f>
        <v>0.81953391456854474</v>
      </c>
      <c r="J42" s="3">
        <f>SUM(Table1[[#This Row],[2022 People trained in First Aid]],Table1[[#This Row],[2023 People trained in First Aid]],Table1[[#This Row],[2024 People trained in First Aid]])</f>
        <v>143747</v>
      </c>
      <c r="K42" s="3">
        <f>Table1[[#This Row],[sum TRAINED ]]/Table1[[#This Row],[population 2023]]*100</f>
        <v>2.4166726489319261</v>
      </c>
    </row>
    <row r="43" spans="1:11" x14ac:dyDescent="0.35">
      <c r="A43" t="s">
        <v>102</v>
      </c>
      <c r="B43">
        <v>728</v>
      </c>
      <c r="C43">
        <v>1349</v>
      </c>
      <c r="D43">
        <v>409</v>
      </c>
      <c r="E43" t="s">
        <v>235</v>
      </c>
      <c r="F43">
        <v>104598</v>
      </c>
      <c r="G43">
        <f>Table1[[#This Row],[2022 People trained in First Aid]]/Table1[[#This Row],[population 2023]]*100</f>
        <v>0.69599801143425299</v>
      </c>
      <c r="H43">
        <f>Table1[[#This Row],[2023 People trained in First Aid]]/Table1[[#This Row],[population 2023]]*100</f>
        <v>1.2896996118472628</v>
      </c>
      <c r="I43">
        <f>Table1[[#This Row],[2024 People trained in First Aid]]/Table1[[#This Row],[population 2023]]*100</f>
        <v>0.39102086081951853</v>
      </c>
      <c r="J43" s="3">
        <f>SUM(Table1[[#This Row],[2022 People trained in First Aid]],Table1[[#This Row],[2023 People trained in First Aid]],Table1[[#This Row],[2024 People trained in First Aid]])</f>
        <v>2486</v>
      </c>
      <c r="K43" s="3">
        <f>Table1[[#This Row],[sum TRAINED ]]/Table1[[#This Row],[population 2023]]*100</f>
        <v>2.3767184841010347</v>
      </c>
    </row>
    <row r="44" spans="1:11" x14ac:dyDescent="0.35">
      <c r="A44" t="s">
        <v>119</v>
      </c>
      <c r="B44">
        <v>46860</v>
      </c>
      <c r="C44">
        <v>58519</v>
      </c>
      <c r="D44">
        <v>25415</v>
      </c>
      <c r="E44" t="s">
        <v>245</v>
      </c>
      <c r="F44">
        <v>7073516</v>
      </c>
      <c r="G44">
        <f>Table1[[#This Row],[2022 People trained in First Aid]]/Table1[[#This Row],[population 2023]]*100</f>
        <v>0.66247111054813479</v>
      </c>
      <c r="H44">
        <f>Table1[[#This Row],[2023 People trained in First Aid]]/Table1[[#This Row],[population 2023]]*100</f>
        <v>0.82729720269240936</v>
      </c>
      <c r="I44">
        <f>Table1[[#This Row],[2024 People trained in First Aid]]/Table1[[#This Row],[population 2023]]*100</f>
        <v>0.35929797854419215</v>
      </c>
      <c r="J44" s="3">
        <f>SUM(Table1[[#This Row],[2022 People trained in First Aid]],Table1[[#This Row],[2023 People trained in First Aid]],Table1[[#This Row],[2024 People trained in First Aid]])</f>
        <v>130794</v>
      </c>
      <c r="K44" s="3">
        <f>Table1[[#This Row],[sum TRAINED ]]/Table1[[#This Row],[population 2023]]*100</f>
        <v>1.8490662917847362</v>
      </c>
    </row>
    <row r="45" spans="1:11" x14ac:dyDescent="0.35">
      <c r="A45" t="s">
        <v>108</v>
      </c>
      <c r="B45">
        <v>3571</v>
      </c>
      <c r="C45">
        <v>2957</v>
      </c>
      <c r="D45">
        <v>2557</v>
      </c>
      <c r="E45" t="s">
        <v>240</v>
      </c>
      <c r="F45">
        <v>532956</v>
      </c>
      <c r="G45">
        <f>Table1[[#This Row],[2022 People trained in First Aid]]/Table1[[#This Row],[population 2023]]*100</f>
        <v>0.67003655085973324</v>
      </c>
      <c r="H45">
        <f>Table1[[#This Row],[2023 People trained in First Aid]]/Table1[[#This Row],[population 2023]]*100</f>
        <v>0.55483004225489529</v>
      </c>
      <c r="I45">
        <f>Table1[[#This Row],[2024 People trained in First Aid]]/Table1[[#This Row],[population 2023]]*100</f>
        <v>0.47977694218659706</v>
      </c>
      <c r="J45" s="3">
        <f>SUM(Table1[[#This Row],[2022 People trained in First Aid]],Table1[[#This Row],[2023 People trained in First Aid]],Table1[[#This Row],[2024 People trained in First Aid]])</f>
        <v>9085</v>
      </c>
      <c r="K45" s="3">
        <f>Table1[[#This Row],[sum TRAINED ]]/Table1[[#This Row],[population 2023]]*100</f>
        <v>1.7046435353012257</v>
      </c>
    </row>
    <row r="46" spans="1:11" x14ac:dyDescent="0.35">
      <c r="A46" t="s">
        <v>93</v>
      </c>
      <c r="B46">
        <v>270232</v>
      </c>
      <c r="C46">
        <v>301354</v>
      </c>
      <c r="D46">
        <v>263556</v>
      </c>
      <c r="E46" t="s">
        <v>323</v>
      </c>
      <c r="F46">
        <v>51748739</v>
      </c>
      <c r="G46">
        <f>Table1[[#This Row],[2022 People trained in First Aid]]/Table1[[#This Row],[population 2023]]*100</f>
        <v>0.5222001641431302</v>
      </c>
      <c r="H46">
        <f>Table1[[#This Row],[2023 People trained in First Aid]]/Table1[[#This Row],[population 2023]]*100</f>
        <v>0.58234076003281932</v>
      </c>
      <c r="I46">
        <f>Table1[[#This Row],[2024 People trained in First Aid]]/Table1[[#This Row],[population 2023]]*100</f>
        <v>0.50929936669567932</v>
      </c>
      <c r="J46" s="3">
        <f>SUM(Table1[[#This Row],[2022 People trained in First Aid]],Table1[[#This Row],[2023 People trained in First Aid]],Table1[[#This Row],[2024 People trained in First Aid]])</f>
        <v>835142</v>
      </c>
      <c r="K46" s="3">
        <f>Table1[[#This Row],[sum TRAINED ]]/Table1[[#This Row],[population 2023]]*100</f>
        <v>1.6138402908716289</v>
      </c>
    </row>
    <row r="47" spans="1:11" x14ac:dyDescent="0.35">
      <c r="A47" t="s">
        <v>33</v>
      </c>
      <c r="B47">
        <v>56348</v>
      </c>
      <c r="C47">
        <v>62922</v>
      </c>
      <c r="D47">
        <v>54866</v>
      </c>
      <c r="E47" t="s">
        <v>305</v>
      </c>
      <c r="F47">
        <v>10809716</v>
      </c>
      <c r="G47">
        <f>Table1[[#This Row],[2022 People trained in First Aid]]/Table1[[#This Row],[population 2023]]*100</f>
        <v>0.52127178919409167</v>
      </c>
      <c r="H47">
        <f>Table1[[#This Row],[2023 People trained in First Aid]]/Table1[[#This Row],[population 2023]]*100</f>
        <v>0.58208744799585854</v>
      </c>
      <c r="I47">
        <f>Table1[[#This Row],[2024 People trained in First Aid]]/Table1[[#This Row],[population 2023]]*100</f>
        <v>0.50756190079369345</v>
      </c>
      <c r="J47" s="3">
        <f>SUM(Table1[[#This Row],[2022 People trained in First Aid]],Table1[[#This Row],[2023 People trained in First Aid]],Table1[[#This Row],[2024 People trained in First Aid]])</f>
        <v>174136</v>
      </c>
      <c r="K47" s="3">
        <f>Table1[[#This Row],[sum TRAINED ]]/Table1[[#This Row],[population 2023]]*100</f>
        <v>1.6109211379836434</v>
      </c>
    </row>
    <row r="48" spans="1:11" x14ac:dyDescent="0.35">
      <c r="A48" t="s">
        <v>140</v>
      </c>
      <c r="B48">
        <v>308338</v>
      </c>
      <c r="C48">
        <v>158481</v>
      </c>
      <c r="D48">
        <v>122224</v>
      </c>
      <c r="E48" t="s">
        <v>354</v>
      </c>
      <c r="F48">
        <v>37732836</v>
      </c>
      <c r="G48">
        <f>Table1[[#This Row],[2022 People trained in First Aid]]/Table1[[#This Row],[population 2023]]*100</f>
        <v>0.81716094703297681</v>
      </c>
      <c r="H48">
        <f>Table1[[#This Row],[2023 People trained in First Aid]]/Table1[[#This Row],[population 2023]]*100</f>
        <v>0.42000818597361722</v>
      </c>
      <c r="I48">
        <f>Table1[[#This Row],[2024 People trained in First Aid]]/Table1[[#This Row],[population 2023]]*100</f>
        <v>0.32391946367349644</v>
      </c>
      <c r="J48" s="3">
        <f>SUM(Table1[[#This Row],[2022 People trained in First Aid]],Table1[[#This Row],[2023 People trained in First Aid]],Table1[[#This Row],[2024 People trained in First Aid]])</f>
        <v>589043</v>
      </c>
      <c r="K48" s="3">
        <f>Table1[[#This Row],[sum TRAINED ]]/Table1[[#This Row],[population 2023]]*100</f>
        <v>1.5610885966800905</v>
      </c>
    </row>
    <row r="49" spans="1:11" x14ac:dyDescent="0.35">
      <c r="A49" t="s">
        <v>49</v>
      </c>
      <c r="B49">
        <v>29128</v>
      </c>
      <c r="C49">
        <v>33630</v>
      </c>
      <c r="D49">
        <v>36837</v>
      </c>
      <c r="E49" t="s">
        <v>210</v>
      </c>
      <c r="F49">
        <v>6773201</v>
      </c>
      <c r="G49">
        <f>Table1[[#This Row],[2022 People trained in First Aid]]/Table1[[#This Row],[population 2023]]*100</f>
        <v>0.43004777209475992</v>
      </c>
      <c r="H49">
        <f>Table1[[#This Row],[2023 People trained in First Aid]]/Table1[[#This Row],[population 2023]]*100</f>
        <v>0.49651560613659629</v>
      </c>
      <c r="I49">
        <f>Table1[[#This Row],[2024 People trained in First Aid]]/Table1[[#This Row],[population 2023]]*100</f>
        <v>0.54386397214551874</v>
      </c>
      <c r="J49" s="3">
        <f>SUM(Table1[[#This Row],[2022 People trained in First Aid]],Table1[[#This Row],[2023 People trained in First Aid]],Table1[[#This Row],[2024 People trained in First Aid]])</f>
        <v>99595</v>
      </c>
      <c r="K49" s="3">
        <f>Table1[[#This Row],[sum TRAINED ]]/Table1[[#This Row],[population 2023]]*100</f>
        <v>1.470427350376875</v>
      </c>
    </row>
    <row r="50" spans="1:11" x14ac:dyDescent="0.35">
      <c r="A50" t="s">
        <v>170</v>
      </c>
      <c r="B50">
        <v>32175</v>
      </c>
      <c r="C50">
        <v>719</v>
      </c>
      <c r="D50">
        <v>4480</v>
      </c>
      <c r="E50" t="s">
        <v>268</v>
      </c>
      <c r="F50">
        <v>2697846</v>
      </c>
      <c r="G50">
        <f>Table1[[#This Row],[2022 People trained in First Aid]]/Table1[[#This Row],[population 2023]]*100</f>
        <v>1.1926181108929124</v>
      </c>
      <c r="H50">
        <f>Table1[[#This Row],[2023 People trained in First Aid]]/Table1[[#This Row],[population 2023]]*100</f>
        <v>2.66508911183218E-2</v>
      </c>
      <c r="I50">
        <f>Table1[[#This Row],[2024 People trained in First Aid]]/Table1[[#This Row],[population 2023]]*100</f>
        <v>0.16605840363015531</v>
      </c>
      <c r="J50" s="3">
        <f>SUM(Table1[[#This Row],[2022 People trained in First Aid]],Table1[[#This Row],[2023 People trained in First Aid]],Table1[[#This Row],[2024 People trained in First Aid]])</f>
        <v>37374</v>
      </c>
      <c r="K50" s="3">
        <f>Table1[[#This Row],[sum TRAINED ]]/Table1[[#This Row],[population 2023]]*100</f>
        <v>1.3853274056413896</v>
      </c>
    </row>
    <row r="51" spans="1:11" x14ac:dyDescent="0.35">
      <c r="A51" t="s">
        <v>127</v>
      </c>
      <c r="B51">
        <v>360000</v>
      </c>
      <c r="C51">
        <v>820000</v>
      </c>
      <c r="D51">
        <v>827000</v>
      </c>
      <c r="E51" t="s">
        <v>341</v>
      </c>
      <c r="F51">
        <v>145440501</v>
      </c>
      <c r="G51">
        <f>Table1[[#This Row],[2022 People trained in First Aid]]/Table1[[#This Row],[population 2023]]*100</f>
        <v>0.24752389982485001</v>
      </c>
      <c r="H51">
        <f>Table1[[#This Row],[2023 People trained in First Aid]]/Table1[[#This Row],[population 2023]]*100</f>
        <v>0.56380443848993611</v>
      </c>
      <c r="I51">
        <f>Table1[[#This Row],[2024 People trained in First Aid]]/Table1[[#This Row],[population 2023]]*100</f>
        <v>0.56861740320875265</v>
      </c>
      <c r="J51" s="3">
        <f>SUM(Table1[[#This Row],[2022 People trained in First Aid]],Table1[[#This Row],[2023 People trained in First Aid]],Table1[[#This Row],[2024 People trained in First Aid]])</f>
        <v>2007000</v>
      </c>
      <c r="K51" s="3">
        <f>Table1[[#This Row],[sum TRAINED ]]/Table1[[#This Row],[population 2023]]*100</f>
        <v>1.3799457415235388</v>
      </c>
    </row>
    <row r="52" spans="1:11" x14ac:dyDescent="0.35">
      <c r="A52" t="s">
        <v>48</v>
      </c>
      <c r="B52">
        <v>2276</v>
      </c>
      <c r="C52">
        <v>2585</v>
      </c>
      <c r="D52">
        <v>3443</v>
      </c>
      <c r="E52" t="s">
        <v>209</v>
      </c>
      <c r="F52">
        <v>665098</v>
      </c>
      <c r="G52">
        <f>Table1[[#This Row],[2022 People trained in First Aid]]/Table1[[#This Row],[population 2023]]*100</f>
        <v>0.34220520885643918</v>
      </c>
      <c r="H52">
        <f>Table1[[#This Row],[2023 People trained in First Aid]]/Table1[[#This Row],[population 2023]]*100</f>
        <v>0.38866452763352166</v>
      </c>
      <c r="I52">
        <f>Table1[[#This Row],[2024 People trained in First Aid]]/Table1[[#This Row],[population 2023]]*100</f>
        <v>0.51766807297571193</v>
      </c>
      <c r="J52" s="3">
        <f>SUM(Table1[[#This Row],[2022 People trained in First Aid]],Table1[[#This Row],[2023 People trained in First Aid]],Table1[[#This Row],[2024 People trained in First Aid]])</f>
        <v>8304</v>
      </c>
      <c r="K52" s="3">
        <f>Table1[[#This Row],[sum TRAINED ]]/Table1[[#This Row],[population 2023]]*100</f>
        <v>1.2485378094656727</v>
      </c>
    </row>
    <row r="53" spans="1:11" x14ac:dyDescent="0.35">
      <c r="A53" t="s">
        <v>166</v>
      </c>
      <c r="C53">
        <v>621</v>
      </c>
      <c r="D53">
        <v>621</v>
      </c>
      <c r="E53" t="s">
        <v>266</v>
      </c>
      <c r="F53">
        <v>101323</v>
      </c>
      <c r="G53">
        <f>Table1[[#This Row],[2022 People trained in First Aid]]/Table1[[#This Row],[population 2023]]*100</f>
        <v>0</v>
      </c>
      <c r="H53">
        <f>Table1[[#This Row],[2023 People trained in First Aid]]/Table1[[#This Row],[population 2023]]*100</f>
        <v>0.61289144616720781</v>
      </c>
      <c r="I53">
        <f>Table1[[#This Row],[2024 People trained in First Aid]]/Table1[[#This Row],[population 2023]]*100</f>
        <v>0.61289144616720781</v>
      </c>
      <c r="J53" s="3">
        <f>SUM(Table1[[#This Row],[2022 People trained in First Aid]],Table1[[#This Row],[2023 People trained in First Aid]],Table1[[#This Row],[2024 People trained in First Aid]])</f>
        <v>1242</v>
      </c>
      <c r="K53" s="3">
        <f>Table1[[#This Row],[sum TRAINED ]]/Table1[[#This Row],[population 2023]]*100</f>
        <v>1.2257828923344156</v>
      </c>
    </row>
    <row r="54" spans="1:11" x14ac:dyDescent="0.35">
      <c r="A54" t="s">
        <v>13</v>
      </c>
      <c r="B54">
        <v>40468</v>
      </c>
      <c r="C54">
        <v>18702</v>
      </c>
      <c r="D54">
        <v>66322</v>
      </c>
      <c r="E54" t="s">
        <v>284</v>
      </c>
      <c r="F54">
        <v>10242909</v>
      </c>
      <c r="G54">
        <f>Table1[[#This Row],[2022 People trained in First Aid]]/Table1[[#This Row],[population 2023]]*100</f>
        <v>0.39508307649711616</v>
      </c>
      <c r="H54">
        <f>Table1[[#This Row],[2023 People trained in First Aid]]/Table1[[#This Row],[population 2023]]*100</f>
        <v>0.18258484967502883</v>
      </c>
      <c r="I54">
        <f>Table1[[#This Row],[2024 People trained in First Aid]]/Table1[[#This Row],[population 2023]]*100</f>
        <v>0.64749184045274644</v>
      </c>
      <c r="J54" s="3">
        <f>SUM(Table1[[#This Row],[2022 People trained in First Aid]],Table1[[#This Row],[2023 People trained in First Aid]],Table1[[#This Row],[2024 People trained in First Aid]])</f>
        <v>125492</v>
      </c>
      <c r="K54" s="3">
        <f>Table1[[#This Row],[sum TRAINED ]]/Table1[[#This Row],[population 2023]]*100</f>
        <v>1.2251597666248915</v>
      </c>
    </row>
    <row r="55" spans="1:11" x14ac:dyDescent="0.35">
      <c r="A55" t="s">
        <v>159</v>
      </c>
      <c r="B55">
        <v>402855</v>
      </c>
      <c r="C55">
        <v>509341</v>
      </c>
      <c r="D55">
        <v>536024</v>
      </c>
      <c r="E55" t="s">
        <v>263</v>
      </c>
      <c r="F55">
        <v>124370947</v>
      </c>
      <c r="G55">
        <f>Table1[[#This Row],[2022 People trained in First Aid]]/Table1[[#This Row],[population 2023]]*100</f>
        <v>0.32391407295467489</v>
      </c>
      <c r="H55">
        <f>Table1[[#This Row],[2023 People trained in First Aid]]/Table1[[#This Row],[population 2023]]*100</f>
        <v>0.40953374745952531</v>
      </c>
      <c r="I55">
        <f>Table1[[#This Row],[2024 People trained in First Aid]]/Table1[[#This Row],[population 2023]]*100</f>
        <v>0.43098811493330508</v>
      </c>
      <c r="J55" s="3">
        <f>SUM(Table1[[#This Row],[2022 People trained in First Aid]],Table1[[#This Row],[2023 People trained in First Aid]],Table1[[#This Row],[2024 People trained in First Aid]])</f>
        <v>1448220</v>
      </c>
      <c r="K55" s="3">
        <f>Table1[[#This Row],[sum TRAINED ]]/Table1[[#This Row],[population 2023]]*100</f>
        <v>1.1644359353475053</v>
      </c>
    </row>
    <row r="56" spans="1:11" x14ac:dyDescent="0.35">
      <c r="A56" t="s">
        <v>176</v>
      </c>
      <c r="B56">
        <v>668</v>
      </c>
      <c r="C56">
        <v>545</v>
      </c>
      <c r="D56">
        <v>242</v>
      </c>
      <c r="E56" t="s">
        <v>273</v>
      </c>
      <c r="F56">
        <v>127951</v>
      </c>
      <c r="G56">
        <f>Table1[[#This Row],[2022 People trained in First Aid]]/Table1[[#This Row],[population 2023]]*100</f>
        <v>0.52207485678111154</v>
      </c>
      <c r="H56">
        <f>Table1[[#This Row],[2023 People trained in First Aid]]/Table1[[#This Row],[population 2023]]*100</f>
        <v>0.42594430680494877</v>
      </c>
      <c r="I56">
        <f>Table1[[#This Row],[2024 People trained in First Aid]]/Table1[[#This Row],[population 2023]]*100</f>
        <v>0.18913490320513321</v>
      </c>
      <c r="J56" s="3">
        <f>SUM(Table1[[#This Row],[2022 People trained in First Aid]],Table1[[#This Row],[2023 People trained in First Aid]],Table1[[#This Row],[2024 People trained in First Aid]])</f>
        <v>1455</v>
      </c>
      <c r="K56" s="3">
        <f>Table1[[#This Row],[sum TRAINED ]]/Table1[[#This Row],[population 2023]]*100</f>
        <v>1.1371540667911935</v>
      </c>
    </row>
    <row r="57" spans="1:11" x14ac:dyDescent="0.35">
      <c r="A57" t="s">
        <v>134</v>
      </c>
      <c r="B57">
        <v>90279</v>
      </c>
      <c r="C57">
        <v>110000</v>
      </c>
      <c r="E57" t="s">
        <v>251</v>
      </c>
      <c r="F57">
        <v>18092525</v>
      </c>
      <c r="G57">
        <f>Table1[[#This Row],[2022 People trained in First Aid]]/Table1[[#This Row],[population 2023]]*100</f>
        <v>0.49898507809164283</v>
      </c>
      <c r="H57">
        <f>Table1[[#This Row],[2023 People trained in First Aid]]/Table1[[#This Row],[population 2023]]*100</f>
        <v>0.60798589472724229</v>
      </c>
      <c r="I57">
        <f>Table1[[#This Row],[2024 People trained in First Aid]]/Table1[[#This Row],[population 2023]]*100</f>
        <v>0</v>
      </c>
      <c r="J57" s="3">
        <f>SUM(Table1[[#This Row],[2022 People trained in First Aid]],Table1[[#This Row],[2023 People trained in First Aid]],Table1[[#This Row],[2024 People trained in First Aid]])</f>
        <v>200279</v>
      </c>
      <c r="K57" s="3">
        <f>Table1[[#This Row],[sum TRAINED ]]/Table1[[#This Row],[population 2023]]*100</f>
        <v>1.1069709728188852</v>
      </c>
    </row>
    <row r="58" spans="1:11" x14ac:dyDescent="0.35">
      <c r="A58" t="s">
        <v>118</v>
      </c>
      <c r="B58">
        <v>7879</v>
      </c>
      <c r="C58">
        <v>6481</v>
      </c>
      <c r="D58">
        <v>6400</v>
      </c>
      <c r="E58" t="s">
        <v>325</v>
      </c>
      <c r="F58">
        <v>1882396</v>
      </c>
      <c r="G58">
        <f>Table1[[#This Row],[2022 People trained in First Aid]]/Table1[[#This Row],[population 2023]]*100</f>
        <v>0.41856230038737863</v>
      </c>
      <c r="H58">
        <f>Table1[[#This Row],[2023 People trained in First Aid]]/Table1[[#This Row],[population 2023]]*100</f>
        <v>0.3442952492461735</v>
      </c>
      <c r="I58">
        <f>Table1[[#This Row],[2024 People trained in First Aid]]/Table1[[#This Row],[population 2023]]*100</f>
        <v>0.33999222267790624</v>
      </c>
      <c r="J58" s="3">
        <f>SUM(Table1[[#This Row],[2022 People trained in First Aid]],Table1[[#This Row],[2023 People trained in First Aid]],Table1[[#This Row],[2024 People trained in First Aid]])</f>
        <v>20760</v>
      </c>
      <c r="K58" s="3">
        <f>Table1[[#This Row],[sum TRAINED ]]/Table1[[#This Row],[population 2023]]*100</f>
        <v>1.1028497723114583</v>
      </c>
    </row>
    <row r="59" spans="1:11" x14ac:dyDescent="0.35">
      <c r="A59" t="s">
        <v>174</v>
      </c>
      <c r="B59">
        <v>4782</v>
      </c>
      <c r="C59">
        <v>796</v>
      </c>
      <c r="D59">
        <v>4555</v>
      </c>
      <c r="E59" t="s">
        <v>272</v>
      </c>
      <c r="F59">
        <v>924146</v>
      </c>
      <c r="G59">
        <f>Table1[[#This Row],[2022 People trained in First Aid]]/Table1[[#This Row],[population 2023]]*100</f>
        <v>0.51745070584085207</v>
      </c>
      <c r="H59">
        <f>Table1[[#This Row],[2023 People trained in First Aid]]/Table1[[#This Row],[population 2023]]*100</f>
        <v>8.6133576296386072E-2</v>
      </c>
      <c r="I59">
        <f>Table1[[#This Row],[2024 People trained in First Aid]]/Table1[[#This Row],[population 2023]]*100</f>
        <v>0.49288748747492278</v>
      </c>
      <c r="J59" s="3">
        <f>SUM(Table1[[#This Row],[2022 People trained in First Aid]],Table1[[#This Row],[2023 People trained in First Aid]],Table1[[#This Row],[2024 People trained in First Aid]])</f>
        <v>10133</v>
      </c>
      <c r="K59" s="3">
        <f>Table1[[#This Row],[sum TRAINED ]]/Table1[[#This Row],[population 2023]]*100</f>
        <v>1.0964717696121609</v>
      </c>
    </row>
    <row r="60" spans="1:11" x14ac:dyDescent="0.35">
      <c r="A60" t="s">
        <v>8</v>
      </c>
      <c r="B60">
        <v>152</v>
      </c>
      <c r="C60">
        <v>276</v>
      </c>
      <c r="D60">
        <v>500</v>
      </c>
      <c r="E60" t="s">
        <v>184</v>
      </c>
      <c r="F60">
        <v>93316</v>
      </c>
      <c r="G60">
        <f>Table1[[#This Row],[2022 People trained in First Aid]]/Table1[[#This Row],[population 2023]]*100</f>
        <v>0.16288739337305499</v>
      </c>
      <c r="H60">
        <f>Table1[[#This Row],[2023 People trained in First Aid]]/Table1[[#This Row],[population 2023]]*100</f>
        <v>0.29576921428265252</v>
      </c>
      <c r="I60">
        <f>Table1[[#This Row],[2024 People trained in First Aid]]/Table1[[#This Row],[population 2023]]*100</f>
        <v>0.53581379399031248</v>
      </c>
      <c r="J60" s="3">
        <f>SUM(Table1[[#This Row],[2022 People trained in First Aid]],Table1[[#This Row],[2023 People trained in First Aid]],Table1[[#This Row],[2024 People trained in First Aid]])</f>
        <v>928</v>
      </c>
      <c r="K60" s="3">
        <f>Table1[[#This Row],[sum TRAINED ]]/Table1[[#This Row],[population 2023]]*100</f>
        <v>0.99447040164601996</v>
      </c>
    </row>
    <row r="61" spans="1:11" x14ac:dyDescent="0.35">
      <c r="A61" t="s">
        <v>168</v>
      </c>
      <c r="B61">
        <v>3164110</v>
      </c>
      <c r="C61">
        <v>5072215</v>
      </c>
      <c r="D61">
        <v>5758098</v>
      </c>
      <c r="E61" t="s">
        <v>267</v>
      </c>
      <c r="F61">
        <v>1422584933</v>
      </c>
      <c r="G61">
        <f>Table1[[#This Row],[2022 People trained in First Aid]]/Table1[[#This Row],[population 2023]]*100</f>
        <v>0.22241976043760053</v>
      </c>
      <c r="H61">
        <f>Table1[[#This Row],[2023 People trained in First Aid]]/Table1[[#This Row],[population 2023]]*100</f>
        <v>0.35654918608645214</v>
      </c>
      <c r="I61">
        <f>Table1[[#This Row],[2024 People trained in First Aid]]/Table1[[#This Row],[population 2023]]*100</f>
        <v>0.40476303849620482</v>
      </c>
      <c r="J61" s="3">
        <f>SUM(Table1[[#This Row],[2022 People trained in First Aid]],Table1[[#This Row],[2023 People trained in First Aid]],Table1[[#This Row],[2024 People trained in First Aid]])</f>
        <v>13994423</v>
      </c>
      <c r="K61" s="3">
        <f>Table1[[#This Row],[sum TRAINED ]]/Table1[[#This Row],[population 2023]]*100</f>
        <v>0.9837319850202576</v>
      </c>
    </row>
    <row r="62" spans="1:11" x14ac:dyDescent="0.35">
      <c r="A62" t="s">
        <v>94</v>
      </c>
      <c r="B62">
        <v>564</v>
      </c>
      <c r="C62">
        <v>568</v>
      </c>
      <c r="D62">
        <v>600</v>
      </c>
      <c r="E62" t="s">
        <v>232</v>
      </c>
      <c r="F62">
        <v>179285</v>
      </c>
      <c r="G62">
        <f>Table1[[#This Row],[2022 People trained in First Aid]]/Table1[[#This Row],[population 2023]]*100</f>
        <v>0.31458292662520565</v>
      </c>
      <c r="H62">
        <f>Table1[[#This Row],[2023 People trained in First Aid]]/Table1[[#This Row],[population 2023]]*100</f>
        <v>0.31681401121120006</v>
      </c>
      <c r="I62">
        <f>Table1[[#This Row],[2024 People trained in First Aid]]/Table1[[#This Row],[population 2023]]*100</f>
        <v>0.33466268789915499</v>
      </c>
      <c r="J62" s="3">
        <f>SUM(Table1[[#This Row],[2022 People trained in First Aid]],Table1[[#This Row],[2023 People trained in First Aid]],Table1[[#This Row],[2024 People trained in First Aid]])</f>
        <v>1732</v>
      </c>
      <c r="K62" s="3">
        <f>Table1[[#This Row],[sum TRAINED ]]/Table1[[#This Row],[population 2023]]*100</f>
        <v>0.96605962573556081</v>
      </c>
    </row>
    <row r="63" spans="1:11" x14ac:dyDescent="0.35">
      <c r="A63" t="s">
        <v>92</v>
      </c>
      <c r="B63">
        <v>51344</v>
      </c>
      <c r="C63">
        <v>76924</v>
      </c>
      <c r="D63">
        <v>54310</v>
      </c>
      <c r="E63" t="s">
        <v>340</v>
      </c>
      <c r="F63">
        <v>19118479</v>
      </c>
      <c r="G63">
        <f>Table1[[#This Row],[2022 People trained in First Aid]]/Table1[[#This Row],[population 2023]]*100</f>
        <v>0.26855692861341113</v>
      </c>
      <c r="H63">
        <f>Table1[[#This Row],[2023 People trained in First Aid]]/Table1[[#This Row],[population 2023]]*100</f>
        <v>0.40235418309165705</v>
      </c>
      <c r="I63">
        <f>Table1[[#This Row],[2024 People trained in First Aid]]/Table1[[#This Row],[population 2023]]*100</f>
        <v>0.28407071503962217</v>
      </c>
      <c r="J63" s="3">
        <f>SUM(Table1[[#This Row],[2022 People trained in First Aid]],Table1[[#This Row],[2023 People trained in First Aid]],Table1[[#This Row],[2024 People trained in First Aid]])</f>
        <v>182578</v>
      </c>
      <c r="K63" s="3">
        <f>Table1[[#This Row],[sum TRAINED ]]/Table1[[#This Row],[population 2023]]*100</f>
        <v>0.95498182674469034</v>
      </c>
    </row>
    <row r="64" spans="1:11" x14ac:dyDescent="0.35">
      <c r="A64" t="s">
        <v>82</v>
      </c>
      <c r="B64">
        <v>1200</v>
      </c>
      <c r="C64">
        <v>1208</v>
      </c>
      <c r="D64">
        <v>1483</v>
      </c>
      <c r="E64" t="s">
        <v>227</v>
      </c>
      <c r="F64">
        <v>411106</v>
      </c>
      <c r="G64">
        <f>Table1[[#This Row],[2022 People trained in First Aid]]/Table1[[#This Row],[population 2023]]*100</f>
        <v>0.29189552086323234</v>
      </c>
      <c r="H64">
        <f>Table1[[#This Row],[2023 People trained in First Aid]]/Table1[[#This Row],[population 2023]]*100</f>
        <v>0.29384149100232054</v>
      </c>
      <c r="I64">
        <f>Table1[[#This Row],[2024 People trained in First Aid]]/Table1[[#This Row],[population 2023]]*100</f>
        <v>0.36073421453347798</v>
      </c>
      <c r="J64" s="3">
        <f>SUM(Table1[[#This Row],[2022 People trained in First Aid]],Table1[[#This Row],[2023 People trained in First Aid]],Table1[[#This Row],[2024 People trained in First Aid]])</f>
        <v>3891</v>
      </c>
      <c r="K64" s="3">
        <f>Table1[[#This Row],[sum TRAINED ]]/Table1[[#This Row],[population 2023]]*100</f>
        <v>0.94647122639903092</v>
      </c>
    </row>
    <row r="65" spans="1:11" x14ac:dyDescent="0.35">
      <c r="A65" t="s">
        <v>43</v>
      </c>
      <c r="B65">
        <v>8350</v>
      </c>
      <c r="C65">
        <v>30355</v>
      </c>
      <c r="D65">
        <v>34191</v>
      </c>
      <c r="E65" t="s">
        <v>348</v>
      </c>
      <c r="F65">
        <v>10551494</v>
      </c>
      <c r="G65">
        <f>Table1[[#This Row],[2022 People trained in First Aid]]/Table1[[#This Row],[population 2023]]*100</f>
        <v>7.9135712914209108E-2</v>
      </c>
      <c r="H65">
        <f>Table1[[#This Row],[2023 People trained in First Aid]]/Table1[[#This Row],[population 2023]]*100</f>
        <v>0.28768437910309197</v>
      </c>
      <c r="I65">
        <f>Table1[[#This Row],[2024 People trained in First Aid]]/Table1[[#This Row],[population 2023]]*100</f>
        <v>0.32403942038918848</v>
      </c>
      <c r="J65" s="3">
        <f>SUM(Table1[[#This Row],[2022 People trained in First Aid]],Table1[[#This Row],[2023 People trained in First Aid]],Table1[[#This Row],[2024 People trained in First Aid]])</f>
        <v>72896</v>
      </c>
      <c r="K65" s="3">
        <f>Table1[[#This Row],[sum TRAINED ]]/Table1[[#This Row],[population 2023]]*100</f>
        <v>0.69085951240648957</v>
      </c>
    </row>
    <row r="66" spans="1:11" x14ac:dyDescent="0.35">
      <c r="A66" t="s">
        <v>9</v>
      </c>
      <c r="B66">
        <v>506</v>
      </c>
      <c r="C66">
        <v>689</v>
      </c>
      <c r="D66">
        <v>723</v>
      </c>
      <c r="E66" t="s">
        <v>282</v>
      </c>
      <c r="F66">
        <v>282336</v>
      </c>
      <c r="G66">
        <f>Table1[[#This Row],[2022 People trained in First Aid]]/Table1[[#This Row],[population 2023]]*100</f>
        <v>0.17921908647852203</v>
      </c>
      <c r="H66">
        <f>Table1[[#This Row],[2023 People trained in First Aid]]/Table1[[#This Row],[population 2023]]*100</f>
        <v>0.24403547546186102</v>
      </c>
      <c r="I66">
        <f>Table1[[#This Row],[2024 People trained in First Aid]]/Table1[[#This Row],[population 2023]]*100</f>
        <v>0.25607786467188032</v>
      </c>
      <c r="J66" s="3">
        <f>SUM(Table1[[#This Row],[2022 People trained in First Aid]],Table1[[#This Row],[2023 People trained in First Aid]],Table1[[#This Row],[2024 People trained in First Aid]])</f>
        <v>1918</v>
      </c>
      <c r="K66" s="3">
        <f>Table1[[#This Row],[sum TRAINED ]]/Table1[[#This Row],[population 2023]]*100</f>
        <v>0.67933242661226345</v>
      </c>
    </row>
    <row r="67" spans="1:11" x14ac:dyDescent="0.35">
      <c r="A67" t="s">
        <v>101</v>
      </c>
      <c r="B67">
        <v>10873</v>
      </c>
      <c r="C67">
        <v>12465</v>
      </c>
      <c r="D67">
        <v>13082</v>
      </c>
      <c r="E67" t="s">
        <v>234</v>
      </c>
      <c r="F67">
        <v>5789090</v>
      </c>
      <c r="G67">
        <f>Table1[[#This Row],[2022 People trained in First Aid]]/Table1[[#This Row],[population 2023]]*100</f>
        <v>0.18781881090119518</v>
      </c>
      <c r="H67">
        <f>Table1[[#This Row],[2023 People trained in First Aid]]/Table1[[#This Row],[population 2023]]*100</f>
        <v>0.2153188152196632</v>
      </c>
      <c r="I67">
        <f>Table1[[#This Row],[2024 People trained in First Aid]]/Table1[[#This Row],[population 2023]]*100</f>
        <v>0.22597679428027548</v>
      </c>
      <c r="J67" s="3">
        <f>SUM(Table1[[#This Row],[2022 People trained in First Aid]],Table1[[#This Row],[2023 People trained in First Aid]],Table1[[#This Row],[2024 People trained in First Aid]])</f>
        <v>36420</v>
      </c>
      <c r="K67" s="3">
        <f>Table1[[#This Row],[sum TRAINED ]]/Table1[[#This Row],[population 2023]]*100</f>
        <v>0.62911442040113386</v>
      </c>
    </row>
    <row r="68" spans="1:11" x14ac:dyDescent="0.35">
      <c r="A68" t="s">
        <v>148</v>
      </c>
      <c r="B68">
        <v>18063</v>
      </c>
      <c r="C68">
        <v>76975</v>
      </c>
      <c r="D68">
        <v>61146</v>
      </c>
      <c r="E68" t="s">
        <v>322</v>
      </c>
      <c r="F68">
        <v>26418204</v>
      </c>
      <c r="G68">
        <f>Table1[[#This Row],[2022 People trained in First Aid]]/Table1[[#This Row],[population 2023]]*100</f>
        <v>6.8373308041682165E-2</v>
      </c>
      <c r="H68">
        <f>Table1[[#This Row],[2023 People trained in First Aid]]/Table1[[#This Row],[population 2023]]*100</f>
        <v>0.2913710561096432</v>
      </c>
      <c r="I68">
        <f>Table1[[#This Row],[2024 People trained in First Aid]]/Table1[[#This Row],[population 2023]]*100</f>
        <v>0.23145403828360173</v>
      </c>
      <c r="J68" s="3">
        <f>SUM(Table1[[#This Row],[2022 People trained in First Aid]],Table1[[#This Row],[2023 People trained in First Aid]],Table1[[#This Row],[2024 People trained in First Aid]])</f>
        <v>156184</v>
      </c>
      <c r="K68" s="3">
        <f>Table1[[#This Row],[sum TRAINED ]]/Table1[[#This Row],[population 2023]]*100</f>
        <v>0.59119840243492705</v>
      </c>
    </row>
    <row r="69" spans="1:11" x14ac:dyDescent="0.35">
      <c r="A69" t="s">
        <v>57</v>
      </c>
      <c r="B69">
        <v>41007</v>
      </c>
      <c r="C69">
        <v>51809</v>
      </c>
      <c r="D69">
        <v>60541</v>
      </c>
      <c r="E69" t="s">
        <v>290</v>
      </c>
      <c r="F69">
        <v>26451124</v>
      </c>
      <c r="G69">
        <f>Table1[[#This Row],[2022 People trained in First Aid]]/Table1[[#This Row],[population 2023]]*100</f>
        <v>0.15502932881037493</v>
      </c>
      <c r="H69">
        <f>Table1[[#This Row],[2023 People trained in First Aid]]/Table1[[#This Row],[population 2023]]*100</f>
        <v>0.19586691287674582</v>
      </c>
      <c r="I69">
        <f>Table1[[#This Row],[2024 People trained in First Aid]]/Table1[[#This Row],[population 2023]]*100</f>
        <v>0.22887874254417317</v>
      </c>
      <c r="J69" s="3">
        <f>SUM(Table1[[#This Row],[2022 People trained in First Aid]],Table1[[#This Row],[2023 People trained in First Aid]],Table1[[#This Row],[2024 People trained in First Aid]])</f>
        <v>153357</v>
      </c>
      <c r="K69" s="3">
        <f>Table1[[#This Row],[sum TRAINED ]]/Table1[[#This Row],[population 2023]]*100</f>
        <v>0.57977498423129392</v>
      </c>
    </row>
    <row r="70" spans="1:11" x14ac:dyDescent="0.35">
      <c r="A70" t="s">
        <v>66</v>
      </c>
      <c r="B70">
        <v>17023</v>
      </c>
      <c r="C70">
        <v>7353</v>
      </c>
      <c r="D70">
        <v>6414</v>
      </c>
      <c r="E70" t="s">
        <v>335</v>
      </c>
      <c r="F70">
        <v>5409202</v>
      </c>
      <c r="G70">
        <f>Table1[[#This Row],[2022 People trained in First Aid]]/Table1[[#This Row],[population 2023]]*100</f>
        <v>0.31470446102770794</v>
      </c>
      <c r="H70">
        <f>Table1[[#This Row],[2023 People trained in First Aid]]/Table1[[#This Row],[population 2023]]*100</f>
        <v>0.13593502331767238</v>
      </c>
      <c r="I70">
        <f>Table1[[#This Row],[2024 People trained in First Aid]]/Table1[[#This Row],[population 2023]]*100</f>
        <v>0.11857571597437108</v>
      </c>
      <c r="J70" s="3">
        <f>SUM(Table1[[#This Row],[2022 People trained in First Aid]],Table1[[#This Row],[2023 People trained in First Aid]],Table1[[#This Row],[2024 People trained in First Aid]])</f>
        <v>30790</v>
      </c>
      <c r="K70" s="3">
        <f>Table1[[#This Row],[sum TRAINED ]]/Table1[[#This Row],[population 2023]]*100</f>
        <v>0.56921520031975137</v>
      </c>
    </row>
    <row r="71" spans="1:11" x14ac:dyDescent="0.35">
      <c r="A71" t="s">
        <v>6</v>
      </c>
      <c r="B71">
        <v>13473</v>
      </c>
      <c r="C71">
        <v>15652</v>
      </c>
      <c r="D71">
        <v>2842</v>
      </c>
      <c r="E71" t="s">
        <v>281</v>
      </c>
      <c r="F71">
        <v>5773493</v>
      </c>
      <c r="G71">
        <f>Table1[[#This Row],[2022 People trained in First Aid]]/Table1[[#This Row],[population 2023]]*100</f>
        <v>0.23335959704116729</v>
      </c>
      <c r="H71">
        <f>Table1[[#This Row],[2023 People trained in First Aid]]/Table1[[#This Row],[population 2023]]*100</f>
        <v>0.27110104749412534</v>
      </c>
      <c r="I71">
        <f>Table1[[#This Row],[2024 People trained in First Aid]]/Table1[[#This Row],[population 2023]]*100</f>
        <v>4.9224966584353706E-2</v>
      </c>
      <c r="J71" s="3">
        <f>SUM(Table1[[#This Row],[2022 People trained in First Aid]],Table1[[#This Row],[2023 People trained in First Aid]],Table1[[#This Row],[2024 People trained in First Aid]])</f>
        <v>31967</v>
      </c>
      <c r="K71" s="3">
        <f>Table1[[#This Row],[sum TRAINED ]]/Table1[[#This Row],[population 2023]]*100</f>
        <v>0.55368561111964631</v>
      </c>
    </row>
    <row r="72" spans="1:11" x14ac:dyDescent="0.35">
      <c r="A72" t="s">
        <v>135</v>
      </c>
      <c r="B72">
        <v>23093</v>
      </c>
      <c r="C72">
        <v>25832</v>
      </c>
      <c r="E72" t="s">
        <v>252</v>
      </c>
      <c r="F72">
        <v>9115680</v>
      </c>
      <c r="G72">
        <f>Table1[[#This Row],[2022 People trained in First Aid]]/Table1[[#This Row],[population 2023]]*100</f>
        <v>0.25333271900724902</v>
      </c>
      <c r="H72">
        <f>Table1[[#This Row],[2023 People trained in First Aid]]/Table1[[#This Row],[population 2023]]*100</f>
        <v>0.28337984659400067</v>
      </c>
      <c r="I72">
        <f>Table1[[#This Row],[2024 People trained in First Aid]]/Table1[[#This Row],[population 2023]]*100</f>
        <v>0</v>
      </c>
      <c r="J72" s="3">
        <f>SUM(Table1[[#This Row],[2022 People trained in First Aid]],Table1[[#This Row],[2023 People trained in First Aid]],Table1[[#This Row],[2024 People trained in First Aid]])</f>
        <v>48925</v>
      </c>
      <c r="K72" s="3">
        <f>Table1[[#This Row],[sum TRAINED ]]/Table1[[#This Row],[population 2023]]*100</f>
        <v>0.53671256560124969</v>
      </c>
    </row>
    <row r="73" spans="1:11" x14ac:dyDescent="0.35">
      <c r="A73" t="s">
        <v>50</v>
      </c>
      <c r="B73">
        <v>137213</v>
      </c>
      <c r="C73">
        <v>115068</v>
      </c>
      <c r="D73">
        <v>106511</v>
      </c>
      <c r="E73" t="s">
        <v>211</v>
      </c>
      <c r="F73">
        <v>68682963</v>
      </c>
      <c r="G73">
        <f>Table1[[#This Row],[2022 People trained in First Aid]]/Table1[[#This Row],[population 2023]]*100</f>
        <v>0.19977734507464392</v>
      </c>
      <c r="H73">
        <f>Table1[[#This Row],[2023 People trained in First Aid]]/Table1[[#This Row],[population 2023]]*100</f>
        <v>0.16753499699772709</v>
      </c>
      <c r="I73">
        <f>Table1[[#This Row],[2024 People trained in First Aid]]/Table1[[#This Row],[population 2023]]*100</f>
        <v>0.15507630327480193</v>
      </c>
      <c r="J73" s="3">
        <f>SUM(Table1[[#This Row],[2022 People trained in First Aid]],Table1[[#This Row],[2023 People trained in First Aid]],Table1[[#This Row],[2024 People trained in First Aid]])</f>
        <v>358792</v>
      </c>
      <c r="K73" s="3">
        <f>Table1[[#This Row],[sum TRAINED ]]/Table1[[#This Row],[population 2023]]*100</f>
        <v>0.52238864534717289</v>
      </c>
    </row>
    <row r="74" spans="1:11" x14ac:dyDescent="0.35">
      <c r="A74" t="s">
        <v>19</v>
      </c>
      <c r="B74">
        <v>8198</v>
      </c>
      <c r="C74">
        <v>5559</v>
      </c>
      <c r="D74">
        <v>6000</v>
      </c>
      <c r="E74" t="s">
        <v>192</v>
      </c>
      <c r="F74">
        <v>3807492</v>
      </c>
      <c r="G74">
        <f>Table1[[#This Row],[2022 People trained in First Aid]]/Table1[[#This Row],[population 2023]]*100</f>
        <v>0.21531233683485088</v>
      </c>
      <c r="H74">
        <f>Table1[[#This Row],[2023 People trained in First Aid]]/Table1[[#This Row],[population 2023]]*100</f>
        <v>0.14600161996400782</v>
      </c>
      <c r="I74">
        <f>Table1[[#This Row],[2024 People trained in First Aid]]/Table1[[#This Row],[population 2023]]*100</f>
        <v>0.15758404745170837</v>
      </c>
      <c r="J74" s="3">
        <f>SUM(Table1[[#This Row],[2022 People trained in First Aid]],Table1[[#This Row],[2023 People trained in First Aid]],Table1[[#This Row],[2024 People trained in First Aid]])</f>
        <v>19757</v>
      </c>
      <c r="K74" s="3">
        <f>Table1[[#This Row],[sum TRAINED ]]/Table1[[#This Row],[population 2023]]*100</f>
        <v>0.51889800425056698</v>
      </c>
    </row>
    <row r="75" spans="1:11" x14ac:dyDescent="0.35">
      <c r="A75" t="s">
        <v>97</v>
      </c>
      <c r="B75">
        <v>909</v>
      </c>
      <c r="C75">
        <v>843</v>
      </c>
      <c r="D75">
        <v>913</v>
      </c>
      <c r="E75" t="s">
        <v>328</v>
      </c>
      <c r="F75">
        <v>525994</v>
      </c>
      <c r="G75">
        <f>Table1[[#This Row],[2022 People trained in First Aid]]/Table1[[#This Row],[population 2023]]*100</f>
        <v>0.17281565949421476</v>
      </c>
      <c r="H75">
        <f>Table1[[#This Row],[2023 People trained in First Aid]]/Table1[[#This Row],[population 2023]]*100</f>
        <v>0.16026798784777013</v>
      </c>
      <c r="I75">
        <f>Table1[[#This Row],[2024 People trained in First Aid]]/Table1[[#This Row],[population 2023]]*100</f>
        <v>0.17357612444248413</v>
      </c>
      <c r="J75" s="3">
        <f>SUM(Table1[[#This Row],[2022 People trained in First Aid]],Table1[[#This Row],[2023 People trained in First Aid]],Table1[[#This Row],[2024 People trained in First Aid]])</f>
        <v>2665</v>
      </c>
      <c r="K75" s="3">
        <f>Table1[[#This Row],[sum TRAINED ]]/Table1[[#This Row],[population 2023]]*100</f>
        <v>0.50665977178446897</v>
      </c>
    </row>
    <row r="76" spans="1:11" x14ac:dyDescent="0.35">
      <c r="A76" t="s">
        <v>111</v>
      </c>
      <c r="B76">
        <v>32756</v>
      </c>
      <c r="C76">
        <v>79345</v>
      </c>
      <c r="D76">
        <v>55474</v>
      </c>
      <c r="E76" t="s">
        <v>241</v>
      </c>
      <c r="F76">
        <v>33264292</v>
      </c>
      <c r="G76">
        <f>Table1[[#This Row],[2022 People trained in First Aid]]/Table1[[#This Row],[population 2023]]*100</f>
        <v>9.8471959060484435E-2</v>
      </c>
      <c r="H76">
        <f>Table1[[#This Row],[2023 People trained in First Aid]]/Table1[[#This Row],[population 2023]]*100</f>
        <v>0.23852905091140977</v>
      </c>
      <c r="I76">
        <f>Table1[[#This Row],[2024 People trained in First Aid]]/Table1[[#This Row],[population 2023]]*100</f>
        <v>0.16676741534135162</v>
      </c>
      <c r="J76" s="3">
        <f>SUM(Table1[[#This Row],[2022 People trained in First Aid]],Table1[[#This Row],[2023 People trained in First Aid]],Table1[[#This Row],[2024 People trained in First Aid]])</f>
        <v>167575</v>
      </c>
      <c r="K76" s="3">
        <f>Table1[[#This Row],[sum TRAINED ]]/Table1[[#This Row],[population 2023]]*100</f>
        <v>0.50376842531324584</v>
      </c>
    </row>
    <row r="77" spans="1:11" x14ac:dyDescent="0.35">
      <c r="A77" t="s">
        <v>81</v>
      </c>
      <c r="B77">
        <v>37613</v>
      </c>
      <c r="C77">
        <v>22156</v>
      </c>
      <c r="D77">
        <v>18069</v>
      </c>
      <c r="E77" t="s">
        <v>226</v>
      </c>
      <c r="F77">
        <v>16340822</v>
      </c>
      <c r="G77">
        <f>Table1[[#This Row],[2022 People trained in First Aid]]/Table1[[#This Row],[population 2023]]*100</f>
        <v>0.23017813914134799</v>
      </c>
      <c r="H77">
        <f>Table1[[#This Row],[2023 People trained in First Aid]]/Table1[[#This Row],[population 2023]]*100</f>
        <v>0.13558681442096365</v>
      </c>
      <c r="I77">
        <f>Table1[[#This Row],[2024 People trained in First Aid]]/Table1[[#This Row],[population 2023]]*100</f>
        <v>0.11057583272126703</v>
      </c>
      <c r="J77" s="3">
        <f>SUM(Table1[[#This Row],[2022 People trained in First Aid]],Table1[[#This Row],[2023 People trained in First Aid]],Table1[[#This Row],[2024 People trained in First Aid]])</f>
        <v>77838</v>
      </c>
      <c r="K77" s="3">
        <f>Table1[[#This Row],[sum TRAINED ]]/Table1[[#This Row],[population 2023]]*100</f>
        <v>0.47634078628357862</v>
      </c>
    </row>
    <row r="78" spans="1:11" x14ac:dyDescent="0.35">
      <c r="A78" t="s">
        <v>116</v>
      </c>
      <c r="B78">
        <v>10000</v>
      </c>
      <c r="C78">
        <v>223625</v>
      </c>
      <c r="D78">
        <v>105</v>
      </c>
      <c r="E78" t="s">
        <v>347</v>
      </c>
      <c r="F78">
        <v>50042791</v>
      </c>
      <c r="G78">
        <f>Table1[[#This Row],[2022 People trained in First Aid]]/Table1[[#This Row],[population 2023]]*100</f>
        <v>1.9982898236031641E-2</v>
      </c>
      <c r="H78">
        <f>Table1[[#This Row],[2023 People trained in First Aid]]/Table1[[#This Row],[population 2023]]*100</f>
        <v>0.4468675618032576</v>
      </c>
      <c r="I78">
        <f>Table1[[#This Row],[2024 People trained in First Aid]]/Table1[[#This Row],[population 2023]]*100</f>
        <v>2.098204314783322E-4</v>
      </c>
      <c r="J78" s="3">
        <f>SUM(Table1[[#This Row],[2022 People trained in First Aid]],Table1[[#This Row],[2023 People trained in First Aid]],Table1[[#This Row],[2024 People trained in First Aid]])</f>
        <v>233730</v>
      </c>
      <c r="K78" s="3">
        <f>Table1[[#This Row],[sum TRAINED ]]/Table1[[#This Row],[population 2023]]*100</f>
        <v>0.46706028047076747</v>
      </c>
    </row>
    <row r="79" spans="1:11" x14ac:dyDescent="0.35">
      <c r="A79" t="s">
        <v>154</v>
      </c>
      <c r="B79">
        <v>1066</v>
      </c>
      <c r="C79">
        <v>1048</v>
      </c>
      <c r="D79">
        <v>807</v>
      </c>
      <c r="E79" t="s">
        <v>260</v>
      </c>
      <c r="F79">
        <v>628886</v>
      </c>
      <c r="G79">
        <f>Table1[[#This Row],[2022 People trained in First Aid]]/Table1[[#This Row],[population 2023]]*100</f>
        <v>0.16950607900318979</v>
      </c>
      <c r="H79">
        <f>Table1[[#This Row],[2023 People trained in First Aid]]/Table1[[#This Row],[population 2023]]*100</f>
        <v>0.16664387504253553</v>
      </c>
      <c r="I79">
        <f>Table1[[#This Row],[2024 People trained in First Aid]]/Table1[[#This Row],[population 2023]]*100</f>
        <v>0.12832214423599825</v>
      </c>
      <c r="J79" s="3">
        <f>SUM(Table1[[#This Row],[2022 People trained in First Aid]],Table1[[#This Row],[2023 People trained in First Aid]],Table1[[#This Row],[2024 People trained in First Aid]])</f>
        <v>2921</v>
      </c>
      <c r="K79" s="3">
        <f>Table1[[#This Row],[sum TRAINED ]]/Table1[[#This Row],[population 2023]]*100</f>
        <v>0.46447209828172353</v>
      </c>
    </row>
    <row r="80" spans="1:11" x14ac:dyDescent="0.35">
      <c r="A80" t="s">
        <v>149</v>
      </c>
      <c r="B80">
        <v>4327</v>
      </c>
      <c r="C80">
        <v>11324</v>
      </c>
      <c r="D80">
        <v>11681</v>
      </c>
      <c r="E80" t="s">
        <v>301</v>
      </c>
      <c r="F80">
        <v>6182885</v>
      </c>
      <c r="G80">
        <f>Table1[[#This Row],[2022 People trained in First Aid]]/Table1[[#This Row],[population 2023]]*100</f>
        <v>6.9983510933811652E-2</v>
      </c>
      <c r="H80">
        <f>Table1[[#This Row],[2023 People trained in First Aid]]/Table1[[#This Row],[population 2023]]*100</f>
        <v>0.18315074597052994</v>
      </c>
      <c r="I80">
        <f>Table1[[#This Row],[2024 People trained in First Aid]]/Table1[[#This Row],[population 2023]]*100</f>
        <v>0.18892474953035679</v>
      </c>
      <c r="J80" s="3">
        <f>SUM(Table1[[#This Row],[2022 People trained in First Aid]],Table1[[#This Row],[2023 People trained in First Aid]],Table1[[#This Row],[2024 People trained in First Aid]])</f>
        <v>27332</v>
      </c>
      <c r="K80" s="3">
        <f>Table1[[#This Row],[sum TRAINED ]]/Table1[[#This Row],[population 2023]]*100</f>
        <v>0.44205900643469836</v>
      </c>
    </row>
    <row r="81" spans="1:11" x14ac:dyDescent="0.35">
      <c r="A81" t="s">
        <v>139</v>
      </c>
      <c r="B81">
        <v>148279</v>
      </c>
      <c r="C81">
        <v>162102</v>
      </c>
      <c r="D81">
        <v>173948</v>
      </c>
      <c r="E81" t="s">
        <v>337</v>
      </c>
      <c r="F81">
        <v>114891199</v>
      </c>
      <c r="G81">
        <f>Table1[[#This Row],[2022 People trained in First Aid]]/Table1[[#This Row],[population 2023]]*100</f>
        <v>0.12906036431911549</v>
      </c>
      <c r="H81">
        <f>Table1[[#This Row],[2023 People trained in First Aid]]/Table1[[#This Row],[population 2023]]*100</f>
        <v>0.14109174715810913</v>
      </c>
      <c r="I81">
        <f>Table1[[#This Row],[2024 People trained in First Aid]]/Table1[[#This Row],[population 2023]]*100</f>
        <v>0.15140237156024458</v>
      </c>
      <c r="J81" s="3">
        <f>SUM(Table1[[#This Row],[2022 People trained in First Aid]],Table1[[#This Row],[2023 People trained in First Aid]],Table1[[#This Row],[2024 People trained in First Aid]])</f>
        <v>484329</v>
      </c>
      <c r="K81" s="3">
        <f>Table1[[#This Row],[sum TRAINED ]]/Table1[[#This Row],[population 2023]]*100</f>
        <v>0.42155448303746923</v>
      </c>
    </row>
    <row r="82" spans="1:11" x14ac:dyDescent="0.35">
      <c r="A82" t="s">
        <v>74</v>
      </c>
      <c r="B82">
        <v>49</v>
      </c>
      <c r="C82">
        <v>208</v>
      </c>
      <c r="D82">
        <v>208</v>
      </c>
      <c r="E82" t="s">
        <v>223</v>
      </c>
      <c r="F82">
        <v>117081</v>
      </c>
      <c r="G82">
        <f>Table1[[#This Row],[2022 People trained in First Aid]]/Table1[[#This Row],[population 2023]]*100</f>
        <v>4.1851367856441266E-2</v>
      </c>
      <c r="H82">
        <f>Table1[[#This Row],[2023 People trained in First Aid]]/Table1[[#This Row],[population 2023]]*100</f>
        <v>0.17765478600285273</v>
      </c>
      <c r="I82">
        <f>Table1[[#This Row],[2024 People trained in First Aid]]/Table1[[#This Row],[population 2023]]*100</f>
        <v>0.17765478600285273</v>
      </c>
      <c r="J82" s="3">
        <f>SUM(Table1[[#This Row],[2022 People trained in First Aid]],Table1[[#This Row],[2023 People trained in First Aid]],Table1[[#This Row],[2024 People trained in First Aid]])</f>
        <v>465</v>
      </c>
      <c r="K82" s="3">
        <f>Table1[[#This Row],[sum TRAINED ]]/Table1[[#This Row],[population 2023]]*100</f>
        <v>0.39716093986214673</v>
      </c>
    </row>
    <row r="83" spans="1:11" x14ac:dyDescent="0.35">
      <c r="A83" t="s">
        <v>172</v>
      </c>
      <c r="B83">
        <v>684</v>
      </c>
      <c r="C83">
        <v>1115</v>
      </c>
      <c r="D83">
        <v>1108</v>
      </c>
      <c r="E83" t="s">
        <v>270</v>
      </c>
      <c r="F83">
        <v>786385</v>
      </c>
      <c r="G83">
        <f>Table1[[#This Row],[2022 People trained in First Aid]]/Table1[[#This Row],[population 2023]]*100</f>
        <v>8.698029591103594E-2</v>
      </c>
      <c r="H83">
        <f>Table1[[#This Row],[2023 People trained in First Aid]]/Table1[[#This Row],[population 2023]]*100</f>
        <v>0.14178805546901327</v>
      </c>
      <c r="I83">
        <f>Table1[[#This Row],[2024 People trained in First Aid]]/Table1[[#This Row],[population 2023]]*100</f>
        <v>0.14089790624185355</v>
      </c>
      <c r="J83" s="3">
        <f>SUM(Table1[[#This Row],[2022 People trained in First Aid]],Table1[[#This Row],[2023 People trained in First Aid]],Table1[[#This Row],[2024 People trained in First Aid]])</f>
        <v>2907</v>
      </c>
      <c r="K83" s="3">
        <f>Table1[[#This Row],[sum TRAINED ]]/Table1[[#This Row],[population 2023]]*100</f>
        <v>0.36966625762190275</v>
      </c>
    </row>
    <row r="84" spans="1:11" x14ac:dyDescent="0.35">
      <c r="A84" t="s">
        <v>103</v>
      </c>
      <c r="B84">
        <v>5080</v>
      </c>
      <c r="C84">
        <v>4600</v>
      </c>
      <c r="D84">
        <v>1113</v>
      </c>
      <c r="E84" t="s">
        <v>289</v>
      </c>
      <c r="F84">
        <v>2943393</v>
      </c>
      <c r="G84">
        <f>Table1[[#This Row],[2022 People trained in First Aid]]/Table1[[#This Row],[population 2023]]*100</f>
        <v>0.1725899327748622</v>
      </c>
      <c r="H84">
        <f>Table1[[#This Row],[2023 People trained in First Aid]]/Table1[[#This Row],[population 2023]]*100</f>
        <v>0.15628222259141067</v>
      </c>
      <c r="I84">
        <f>Table1[[#This Row],[2024 People trained in First Aid]]/Table1[[#This Row],[population 2023]]*100</f>
        <v>3.7813502987878278E-2</v>
      </c>
      <c r="J84" s="3">
        <f>SUM(Table1[[#This Row],[2022 People trained in First Aid]],Table1[[#This Row],[2023 People trained in First Aid]],Table1[[#This Row],[2024 People trained in First Aid]])</f>
        <v>10793</v>
      </c>
      <c r="K84" s="3">
        <f>Table1[[#This Row],[sum TRAINED ]]/Table1[[#This Row],[population 2023]]*100</f>
        <v>0.36668565835415118</v>
      </c>
    </row>
    <row r="85" spans="1:11" x14ac:dyDescent="0.35">
      <c r="A85" t="s">
        <v>143</v>
      </c>
      <c r="B85">
        <v>256</v>
      </c>
      <c r="C85">
        <v>137</v>
      </c>
      <c r="D85">
        <v>10</v>
      </c>
      <c r="E85" t="s">
        <v>331</v>
      </c>
      <c r="F85">
        <v>112631</v>
      </c>
      <c r="G85">
        <f>Table1[[#This Row],[2022 People trained in First Aid]]/Table1[[#This Row],[population 2023]]*100</f>
        <v>0.22729088794381652</v>
      </c>
      <c r="H85">
        <f>Table1[[#This Row],[2023 People trained in First Aid]]/Table1[[#This Row],[population 2023]]*100</f>
        <v>0.12163613925118308</v>
      </c>
      <c r="I85">
        <f>Table1[[#This Row],[2024 People trained in First Aid]]/Table1[[#This Row],[population 2023]]*100</f>
        <v>8.8785503103053325E-3</v>
      </c>
      <c r="J85" s="3">
        <f>SUM(Table1[[#This Row],[2022 People trained in First Aid]],Table1[[#This Row],[2023 People trained in First Aid]],Table1[[#This Row],[2024 People trained in First Aid]])</f>
        <v>403</v>
      </c>
      <c r="K85" s="3">
        <f>Table1[[#This Row],[sum TRAINED ]]/Table1[[#This Row],[population 2023]]*100</f>
        <v>0.35780557750530489</v>
      </c>
    </row>
    <row r="86" spans="1:11" x14ac:dyDescent="0.35">
      <c r="A86" t="s">
        <v>180</v>
      </c>
      <c r="B86">
        <v>71618</v>
      </c>
      <c r="C86">
        <v>71618</v>
      </c>
      <c r="D86">
        <v>88847</v>
      </c>
      <c r="E86" t="s">
        <v>276</v>
      </c>
      <c r="F86">
        <v>66438822</v>
      </c>
      <c r="G86">
        <f>Table1[[#This Row],[2022 People trained in First Aid]]/Table1[[#This Row],[population 2023]]*100</f>
        <v>0.10779540913594163</v>
      </c>
      <c r="H86">
        <f>Table1[[#This Row],[2023 People trained in First Aid]]/Table1[[#This Row],[population 2023]]*100</f>
        <v>0.10779540913594163</v>
      </c>
      <c r="I86">
        <f>Table1[[#This Row],[2024 People trained in First Aid]]/Table1[[#This Row],[population 2023]]*100</f>
        <v>0.13372753658997746</v>
      </c>
      <c r="J86" s="3">
        <f>SUM(Table1[[#This Row],[2022 People trained in First Aid]],Table1[[#This Row],[2023 People trained in First Aid]],Table1[[#This Row],[2024 People trained in First Aid]])</f>
        <v>232083</v>
      </c>
      <c r="K86" s="3">
        <f>Table1[[#This Row],[sum TRAINED ]]/Table1[[#This Row],[population 2023]]*100</f>
        <v>0.34931835486186075</v>
      </c>
    </row>
    <row r="87" spans="1:11" x14ac:dyDescent="0.35">
      <c r="A87" t="s">
        <v>17</v>
      </c>
      <c r="B87">
        <v>18421</v>
      </c>
      <c r="C87">
        <v>26398</v>
      </c>
      <c r="D87">
        <v>22723</v>
      </c>
      <c r="E87" t="s">
        <v>190</v>
      </c>
      <c r="F87">
        <v>20330104</v>
      </c>
      <c r="G87">
        <f>Table1[[#This Row],[2022 People trained in First Aid]]/Table1[[#This Row],[population 2023]]*100</f>
        <v>9.0609472533932922E-2</v>
      </c>
      <c r="H87">
        <f>Table1[[#This Row],[2023 People trained in First Aid]]/Table1[[#This Row],[population 2023]]*100</f>
        <v>0.12984685174261776</v>
      </c>
      <c r="I87">
        <f>Table1[[#This Row],[2024 People trained in First Aid]]/Table1[[#This Row],[population 2023]]*100</f>
        <v>0.11177021032455121</v>
      </c>
      <c r="J87" s="3">
        <f>SUM(Table1[[#This Row],[2022 People trained in First Aid]],Table1[[#This Row],[2023 People trained in First Aid]],Table1[[#This Row],[2024 People trained in First Aid]])</f>
        <v>67542</v>
      </c>
      <c r="K87" s="3">
        <f>Table1[[#This Row],[sum TRAINED ]]/Table1[[#This Row],[population 2023]]*100</f>
        <v>0.33222653460110191</v>
      </c>
    </row>
    <row r="88" spans="1:11" x14ac:dyDescent="0.35">
      <c r="A88" t="s">
        <v>109</v>
      </c>
      <c r="B88">
        <v>496</v>
      </c>
      <c r="C88">
        <v>346</v>
      </c>
      <c r="D88">
        <v>468</v>
      </c>
      <c r="E88" t="s">
        <v>352</v>
      </c>
      <c r="F88">
        <v>399441</v>
      </c>
      <c r="G88">
        <f>Table1[[#This Row],[2022 People trained in First Aid]]/Table1[[#This Row],[population 2023]]*100</f>
        <v>0.12417353251168509</v>
      </c>
      <c r="H88">
        <f>Table1[[#This Row],[2023 People trained in First Aid]]/Table1[[#This Row],[population 2023]]*100</f>
        <v>8.6621052921457733E-2</v>
      </c>
      <c r="I88">
        <f>Table1[[#This Row],[2024 People trained in First Aid]]/Table1[[#This Row],[population 2023]]*100</f>
        <v>0.11716373632150931</v>
      </c>
      <c r="J88" s="3">
        <f>SUM(Table1[[#This Row],[2022 People trained in First Aid]],Table1[[#This Row],[2023 People trained in First Aid]],Table1[[#This Row],[2024 People trained in First Aid]])</f>
        <v>1310</v>
      </c>
      <c r="K88" s="3">
        <f>Table1[[#This Row],[sum TRAINED ]]/Table1[[#This Row],[population 2023]]*100</f>
        <v>0.32795832175465212</v>
      </c>
    </row>
    <row r="89" spans="1:11" x14ac:dyDescent="0.35">
      <c r="A89" t="s">
        <v>146</v>
      </c>
      <c r="B89">
        <v>6811</v>
      </c>
      <c r="C89">
        <v>9323</v>
      </c>
      <c r="D89">
        <v>480</v>
      </c>
      <c r="E89" t="s">
        <v>298</v>
      </c>
      <c r="F89">
        <v>5152421</v>
      </c>
      <c r="G89">
        <f>Table1[[#This Row],[2022 People trained in First Aid]]/Table1[[#This Row],[population 2023]]*100</f>
        <v>0.132190284916547</v>
      </c>
      <c r="H89">
        <f>Table1[[#This Row],[2023 People trained in First Aid]]/Table1[[#This Row],[population 2023]]*100</f>
        <v>0.18094406493568752</v>
      </c>
      <c r="I89">
        <f>Table1[[#This Row],[2024 People trained in First Aid]]/Table1[[#This Row],[population 2023]]*100</f>
        <v>9.3160089208548756E-3</v>
      </c>
      <c r="J89" s="3">
        <f>SUM(Table1[[#This Row],[2022 People trained in First Aid]],Table1[[#This Row],[2023 People trained in First Aid]],Table1[[#This Row],[2024 People trained in First Aid]])</f>
        <v>16614</v>
      </c>
      <c r="K89" s="3">
        <f>Table1[[#This Row],[sum TRAINED ]]/Table1[[#This Row],[population 2023]]*100</f>
        <v>0.32245035877308942</v>
      </c>
    </row>
    <row r="90" spans="1:11" x14ac:dyDescent="0.35">
      <c r="A90" t="s">
        <v>73</v>
      </c>
      <c r="B90">
        <v>12324</v>
      </c>
      <c r="C90">
        <v>1138</v>
      </c>
      <c r="D90">
        <v>55225</v>
      </c>
      <c r="E90" t="s">
        <v>222</v>
      </c>
      <c r="F90">
        <v>22971617</v>
      </c>
      <c r="G90">
        <f>Table1[[#This Row],[2022 People trained in First Aid]]/Table1[[#This Row],[population 2023]]*100</f>
        <v>5.3648813664270996E-2</v>
      </c>
      <c r="H90">
        <f>Table1[[#This Row],[2023 People trained in First Aid]]/Table1[[#This Row],[population 2023]]*100</f>
        <v>4.9539394636433304E-3</v>
      </c>
      <c r="I90">
        <f>Table1[[#This Row],[2024 People trained in First Aid]]/Table1[[#This Row],[population 2023]]*100</f>
        <v>0.24040536632662818</v>
      </c>
      <c r="J90" s="3">
        <f>SUM(Table1[[#This Row],[2022 People trained in First Aid]],Table1[[#This Row],[2023 People trained in First Aid]],Table1[[#This Row],[2024 People trained in First Aid]])</f>
        <v>68687</v>
      </c>
      <c r="K90" s="3">
        <f>Table1[[#This Row],[sum TRAINED ]]/Table1[[#This Row],[population 2023]]*100</f>
        <v>0.29900811945454253</v>
      </c>
    </row>
    <row r="91" spans="1:11" x14ac:dyDescent="0.35">
      <c r="A91" t="s">
        <v>61</v>
      </c>
      <c r="B91">
        <v>9592</v>
      </c>
      <c r="C91">
        <v>10810</v>
      </c>
      <c r="D91">
        <v>10325</v>
      </c>
      <c r="E91" t="s">
        <v>339</v>
      </c>
      <c r="F91">
        <v>10430738</v>
      </c>
      <c r="G91">
        <f>Table1[[#This Row],[2022 People trained in First Aid]]/Table1[[#This Row],[population 2023]]*100</f>
        <v>9.1958977399298106E-2</v>
      </c>
      <c r="H91">
        <f>Table1[[#This Row],[2023 People trained in First Aid]]/Table1[[#This Row],[population 2023]]*100</f>
        <v>0.10363600351192793</v>
      </c>
      <c r="I91">
        <f>Table1[[#This Row],[2024 People trained in First Aid]]/Table1[[#This Row],[population 2023]]*100</f>
        <v>9.8986284575453817E-2</v>
      </c>
      <c r="J91" s="3">
        <f>SUM(Table1[[#This Row],[2022 People trained in First Aid]],Table1[[#This Row],[2023 People trained in First Aid]],Table1[[#This Row],[2024 People trained in First Aid]])</f>
        <v>30727</v>
      </c>
      <c r="K91" s="3">
        <f>Table1[[#This Row],[sum TRAINED ]]/Table1[[#This Row],[population 2023]]*100</f>
        <v>0.29458126548667984</v>
      </c>
    </row>
    <row r="92" spans="1:11" x14ac:dyDescent="0.35">
      <c r="A92" t="s">
        <v>133</v>
      </c>
      <c r="B92">
        <v>59466</v>
      </c>
      <c r="C92">
        <v>135680</v>
      </c>
      <c r="D92">
        <v>97373</v>
      </c>
      <c r="E92" t="s">
        <v>358</v>
      </c>
      <c r="F92">
        <v>100352192</v>
      </c>
      <c r="G92">
        <f>Table1[[#This Row],[2022 People trained in First Aid]]/Table1[[#This Row],[population 2023]]*100</f>
        <v>5.9257300528123988E-2</v>
      </c>
      <c r="H92">
        <f>Table1[[#This Row],[2023 People trained in First Aid]]/Table1[[#This Row],[population 2023]]*100</f>
        <v>0.13520382295186936</v>
      </c>
      <c r="I92">
        <f>Table1[[#This Row],[2024 People trained in First Aid]]/Table1[[#This Row],[population 2023]]*100</f>
        <v>9.7031263651919025E-2</v>
      </c>
      <c r="J92" s="3">
        <f>SUM(Table1[[#This Row],[2022 People trained in First Aid]],Table1[[#This Row],[2023 People trained in First Aid]],Table1[[#This Row],[2024 People trained in First Aid]])</f>
        <v>292519</v>
      </c>
      <c r="K92" s="3">
        <f>Table1[[#This Row],[sum TRAINED ]]/Table1[[#This Row],[population 2023]]*100</f>
        <v>0.29149238713191239</v>
      </c>
    </row>
    <row r="93" spans="1:11" x14ac:dyDescent="0.35">
      <c r="A93" t="s">
        <v>72</v>
      </c>
      <c r="B93">
        <v>6026</v>
      </c>
      <c r="C93">
        <v>9804</v>
      </c>
      <c r="D93">
        <v>22356</v>
      </c>
      <c r="E93" t="s">
        <v>221</v>
      </c>
      <c r="F93">
        <v>13689450</v>
      </c>
      <c r="G93">
        <f>Table1[[#This Row],[2022 People trained in First Aid]]/Table1[[#This Row],[population 2023]]*100</f>
        <v>4.4019299533582426E-2</v>
      </c>
      <c r="H93">
        <f>Table1[[#This Row],[2023 People trained in First Aid]]/Table1[[#This Row],[population 2023]]*100</f>
        <v>7.1617194262735176E-2</v>
      </c>
      <c r="I93">
        <f>Table1[[#This Row],[2024 People trained in First Aid]]/Table1[[#This Row],[population 2023]]*100</f>
        <v>0.16330824101771804</v>
      </c>
      <c r="J93" s="3">
        <f>SUM(Table1[[#This Row],[2022 People trained in First Aid]],Table1[[#This Row],[2023 People trained in First Aid]],Table1[[#This Row],[2024 People trained in First Aid]])</f>
        <v>38186</v>
      </c>
      <c r="K93" s="3">
        <f>Table1[[#This Row],[sum TRAINED ]]/Table1[[#This Row],[population 2023]]*100</f>
        <v>0.27894473481403564</v>
      </c>
    </row>
    <row r="94" spans="1:11" x14ac:dyDescent="0.35">
      <c r="A94" t="s">
        <v>96</v>
      </c>
      <c r="B94">
        <v>694</v>
      </c>
      <c r="C94">
        <v>624</v>
      </c>
      <c r="D94">
        <v>733</v>
      </c>
      <c r="E94" t="s">
        <v>353</v>
      </c>
      <c r="F94">
        <v>800006</v>
      </c>
      <c r="G94">
        <f>Table1[[#This Row],[2022 People trained in First Aid]]/Table1[[#This Row],[population 2023]]*100</f>
        <v>8.6749349379879659E-2</v>
      </c>
      <c r="H94">
        <f>Table1[[#This Row],[2023 People trained in First Aid]]/Table1[[#This Row],[population 2023]]*100</f>
        <v>7.7999415004387465E-2</v>
      </c>
      <c r="I94">
        <f>Table1[[#This Row],[2024 People trained in First Aid]]/Table1[[#This Row],[population 2023]]*100</f>
        <v>9.1624312817653875E-2</v>
      </c>
      <c r="J94" s="3">
        <f>SUM(Table1[[#This Row],[2022 People trained in First Aid]],Table1[[#This Row],[2023 People trained in First Aid]],Table1[[#This Row],[2024 People trained in First Aid]])</f>
        <v>2051</v>
      </c>
      <c r="K94" s="3">
        <f>Table1[[#This Row],[sum TRAINED ]]/Table1[[#This Row],[population 2023]]*100</f>
        <v>0.25637307720192098</v>
      </c>
    </row>
    <row r="95" spans="1:11" x14ac:dyDescent="0.35">
      <c r="A95" t="s">
        <v>79</v>
      </c>
      <c r="B95">
        <v>15824</v>
      </c>
      <c r="C95">
        <v>6815</v>
      </c>
      <c r="D95">
        <v>12752</v>
      </c>
      <c r="E95" t="s">
        <v>342</v>
      </c>
      <c r="F95">
        <v>13954472</v>
      </c>
      <c r="G95">
        <f>Table1[[#This Row],[2022 People trained in First Aid]]/Table1[[#This Row],[population 2023]]*100</f>
        <v>0.11339733957687542</v>
      </c>
      <c r="H95">
        <f>Table1[[#This Row],[2023 People trained in First Aid]]/Table1[[#This Row],[population 2023]]*100</f>
        <v>4.8837390622877022E-2</v>
      </c>
      <c r="I95">
        <f>Table1[[#This Row],[2024 People trained in First Aid]]/Table1[[#This Row],[population 2023]]*100</f>
        <v>9.1382891448705469E-2</v>
      </c>
      <c r="J95" s="3">
        <f>SUM(Table1[[#This Row],[2022 People trained in First Aid]],Table1[[#This Row],[2023 People trained in First Aid]],Table1[[#This Row],[2024 People trained in First Aid]])</f>
        <v>35391</v>
      </c>
      <c r="K95" s="3">
        <f>Table1[[#This Row],[sum TRAINED ]]/Table1[[#This Row],[population 2023]]*100</f>
        <v>0.25361762164845791</v>
      </c>
    </row>
    <row r="96" spans="1:11" x14ac:dyDescent="0.35">
      <c r="A96" t="s">
        <v>86</v>
      </c>
      <c r="B96">
        <v>16842</v>
      </c>
      <c r="C96">
        <v>10670</v>
      </c>
      <c r="D96">
        <v>16158</v>
      </c>
      <c r="E96" t="s">
        <v>297</v>
      </c>
      <c r="F96">
        <v>17423881</v>
      </c>
      <c r="G96">
        <f>Table1[[#This Row],[2022 People trained in First Aid]]/Table1[[#This Row],[population 2023]]*100</f>
        <v>9.6660439772287249E-2</v>
      </c>
      <c r="H96">
        <f>Table1[[#This Row],[2023 People trained in First Aid]]/Table1[[#This Row],[population 2023]]*100</f>
        <v>6.1237791970686663E-2</v>
      </c>
      <c r="I96">
        <f>Table1[[#This Row],[2024 People trained in First Aid]]/Table1[[#This Row],[population 2023]]*100</f>
        <v>9.2734793126743695E-2</v>
      </c>
      <c r="J96" s="3">
        <f>SUM(Table1[[#This Row],[2022 People trained in First Aid]],Table1[[#This Row],[2023 People trained in First Aid]],Table1[[#This Row],[2024 People trained in First Aid]])</f>
        <v>43670</v>
      </c>
      <c r="K96" s="3">
        <f>Table1[[#This Row],[sum TRAINED ]]/Table1[[#This Row],[population 2023]]*100</f>
        <v>0.25063302486971761</v>
      </c>
    </row>
    <row r="97" spans="1:11" x14ac:dyDescent="0.35">
      <c r="A97" t="s">
        <v>129</v>
      </c>
      <c r="B97">
        <v>4513</v>
      </c>
      <c r="C97">
        <v>112983</v>
      </c>
      <c r="E97" t="s">
        <v>249</v>
      </c>
      <c r="F97">
        <v>47911580</v>
      </c>
      <c r="G97">
        <f>Table1[[#This Row],[2022 People trained in First Aid]]/Table1[[#This Row],[population 2023]]*100</f>
        <v>9.4194347170350051E-3</v>
      </c>
      <c r="H97">
        <f>Table1[[#This Row],[2023 People trained in First Aid]]/Table1[[#This Row],[population 2023]]*100</f>
        <v>0.23581564206398539</v>
      </c>
      <c r="I97">
        <f>Table1[[#This Row],[2024 People trained in First Aid]]/Table1[[#This Row],[population 2023]]*100</f>
        <v>0</v>
      </c>
      <c r="J97" s="3">
        <f>SUM(Table1[[#This Row],[2022 People trained in First Aid]],Table1[[#This Row],[2023 People trained in First Aid]],Table1[[#This Row],[2024 People trained in First Aid]])</f>
        <v>117496</v>
      </c>
      <c r="K97" s="3">
        <f>Table1[[#This Row],[sum TRAINED ]]/Table1[[#This Row],[population 2023]]*100</f>
        <v>0.24523507678102038</v>
      </c>
    </row>
    <row r="98" spans="1:11" x14ac:dyDescent="0.35">
      <c r="A98" t="s">
        <v>54</v>
      </c>
      <c r="C98">
        <v>2252</v>
      </c>
      <c r="D98">
        <v>1230</v>
      </c>
      <c r="E98" t="s">
        <v>359</v>
      </c>
      <c r="F98">
        <v>1502933</v>
      </c>
      <c r="G98">
        <f>Table1[[#This Row],[2022 People trained in First Aid]]/Table1[[#This Row],[population 2023]]*100</f>
        <v>0</v>
      </c>
      <c r="H98">
        <f>Table1[[#This Row],[2023 People trained in First Aid]]/Table1[[#This Row],[population 2023]]*100</f>
        <v>0.14984034551107733</v>
      </c>
      <c r="I98">
        <f>Table1[[#This Row],[2024 People trained in First Aid]]/Table1[[#This Row],[population 2023]]*100</f>
        <v>8.1839975567773143E-2</v>
      </c>
      <c r="J98" s="3">
        <f>SUM(Table1[[#This Row],[2022 People trained in First Aid]],Table1[[#This Row],[2023 People trained in First Aid]],Table1[[#This Row],[2024 People trained in First Aid]])</f>
        <v>3482</v>
      </c>
      <c r="K98" s="3">
        <f>Table1[[#This Row],[sum TRAINED ]]/Table1[[#This Row],[population 2023]]*100</f>
        <v>0.23168032107885048</v>
      </c>
    </row>
    <row r="99" spans="1:11" x14ac:dyDescent="0.35">
      <c r="A99" t="s">
        <v>132</v>
      </c>
      <c r="B99">
        <v>806</v>
      </c>
      <c r="C99">
        <v>873</v>
      </c>
      <c r="D99">
        <v>1048</v>
      </c>
      <c r="E99" t="s">
        <v>292</v>
      </c>
      <c r="F99">
        <v>1230506</v>
      </c>
      <c r="G99">
        <f>Table1[[#This Row],[2022 People trained in First Aid]]/Table1[[#This Row],[population 2023]]*100</f>
        <v>6.5501509135266311E-2</v>
      </c>
      <c r="H99">
        <f>Table1[[#This Row],[2023 People trained in First Aid]]/Table1[[#This Row],[population 2023]]*100</f>
        <v>7.0946423666361641E-2</v>
      </c>
      <c r="I99">
        <f>Table1[[#This Row],[2024 People trained in First Aid]]/Table1[[#This Row],[population 2023]]*100</f>
        <v>8.516821535205843E-2</v>
      </c>
      <c r="J99" s="3">
        <f>SUM(Table1[[#This Row],[2022 People trained in First Aid]],Table1[[#This Row],[2023 People trained in First Aid]],Table1[[#This Row],[2024 People trained in First Aid]])</f>
        <v>2727</v>
      </c>
      <c r="K99" s="3">
        <f>Table1[[#This Row],[sum TRAINED ]]/Table1[[#This Row],[population 2023]]*100</f>
        <v>0.22161614815368635</v>
      </c>
    </row>
    <row r="100" spans="1:11" x14ac:dyDescent="0.35">
      <c r="A100" t="s">
        <v>124</v>
      </c>
      <c r="B100">
        <v>10000</v>
      </c>
      <c r="C100">
        <v>60115</v>
      </c>
      <c r="D100">
        <v>11060</v>
      </c>
      <c r="E100" t="s">
        <v>332</v>
      </c>
      <c r="F100">
        <v>37712505</v>
      </c>
      <c r="G100">
        <f>Table1[[#This Row],[2022 People trained in First Aid]]/Table1[[#This Row],[population 2023]]*100</f>
        <v>2.6516403511249124E-2</v>
      </c>
      <c r="H100">
        <f>Table1[[#This Row],[2023 People trained in First Aid]]/Table1[[#This Row],[population 2023]]*100</f>
        <v>0.15940335970787409</v>
      </c>
      <c r="I100">
        <f>Table1[[#This Row],[2024 People trained in First Aid]]/Table1[[#This Row],[population 2023]]*100</f>
        <v>2.9327142283441528E-2</v>
      </c>
      <c r="J100" s="3">
        <f>SUM(Table1[[#This Row],[2022 People trained in First Aid]],Table1[[#This Row],[2023 People trained in First Aid]],Table1[[#This Row],[2024 People trained in First Aid]])</f>
        <v>81175</v>
      </c>
      <c r="K100" s="3">
        <f>Table1[[#This Row],[sum TRAINED ]]/Table1[[#This Row],[population 2023]]*100</f>
        <v>0.21524690550256473</v>
      </c>
    </row>
    <row r="101" spans="1:11" x14ac:dyDescent="0.35">
      <c r="A101" t="s">
        <v>104</v>
      </c>
      <c r="B101">
        <v>17657</v>
      </c>
      <c r="C101">
        <v>64907</v>
      </c>
      <c r="D101">
        <v>31734</v>
      </c>
      <c r="E101" t="s">
        <v>236</v>
      </c>
      <c r="F101">
        <v>54133798</v>
      </c>
      <c r="G101">
        <f>Table1[[#This Row],[2022 People trained in First Aid]]/Table1[[#This Row],[population 2023]]*100</f>
        <v>3.2617330858625511E-2</v>
      </c>
      <c r="H101">
        <f>Table1[[#This Row],[2023 People trained in First Aid]]/Table1[[#This Row],[population 2023]]*100</f>
        <v>0.11990106439603591</v>
      </c>
      <c r="I101">
        <f>Table1[[#This Row],[2024 People trained in First Aid]]/Table1[[#This Row],[population 2023]]*100</f>
        <v>5.8621417991030295E-2</v>
      </c>
      <c r="J101" s="3">
        <f>SUM(Table1[[#This Row],[2022 People trained in First Aid]],Table1[[#This Row],[2023 People trained in First Aid]],Table1[[#This Row],[2024 People trained in First Aid]])</f>
        <v>114298</v>
      </c>
      <c r="K101" s="3">
        <f>Table1[[#This Row],[sum TRAINED ]]/Table1[[#This Row],[population 2023]]*100</f>
        <v>0.21113981324569175</v>
      </c>
    </row>
    <row r="102" spans="1:11" x14ac:dyDescent="0.35">
      <c r="A102" t="s">
        <v>38</v>
      </c>
      <c r="B102">
        <v>2012</v>
      </c>
      <c r="C102">
        <v>2040</v>
      </c>
      <c r="D102">
        <v>2021</v>
      </c>
      <c r="E102" t="s">
        <v>202</v>
      </c>
      <c r="F102">
        <v>2979082</v>
      </c>
      <c r="G102">
        <f>Table1[[#This Row],[2022 People trained in First Aid]]/Table1[[#This Row],[population 2023]]*100</f>
        <v>6.753758372545636E-2</v>
      </c>
      <c r="H102">
        <f>Table1[[#This Row],[2023 People trained in First Aid]]/Table1[[#This Row],[population 2023]]*100</f>
        <v>6.8477470576506452E-2</v>
      </c>
      <c r="I102">
        <f>Table1[[#This Row],[2024 People trained in First Aid]]/Table1[[#This Row],[population 2023]]*100</f>
        <v>6.7839690213293891E-2</v>
      </c>
      <c r="J102" s="3">
        <f>SUM(Table1[[#This Row],[2022 People trained in First Aid]],Table1[[#This Row],[2023 People trained in First Aid]],Table1[[#This Row],[2024 People trained in First Aid]])</f>
        <v>6073</v>
      </c>
      <c r="K102" s="3">
        <f>Table1[[#This Row],[sum TRAINED ]]/Table1[[#This Row],[population 2023]]*100</f>
        <v>0.2038547445152567</v>
      </c>
    </row>
    <row r="103" spans="1:11" x14ac:dyDescent="0.35">
      <c r="A103" t="s">
        <v>53</v>
      </c>
      <c r="B103">
        <v>11789</v>
      </c>
      <c r="C103">
        <v>12428</v>
      </c>
      <c r="D103">
        <v>51703</v>
      </c>
      <c r="E103" t="s">
        <v>338</v>
      </c>
      <c r="F103">
        <v>38762844</v>
      </c>
      <c r="G103">
        <f>Table1[[#This Row],[2022 People trained in First Aid]]/Table1[[#This Row],[population 2023]]*100</f>
        <v>3.0413145124232883E-2</v>
      </c>
      <c r="H103">
        <f>Table1[[#This Row],[2023 People trained in First Aid]]/Table1[[#This Row],[population 2023]]*100</f>
        <v>3.2061630978366812E-2</v>
      </c>
      <c r="I103">
        <f>Table1[[#This Row],[2024 People trained in First Aid]]/Table1[[#This Row],[population 2023]]*100</f>
        <v>0.13338288594097999</v>
      </c>
      <c r="J103" s="3">
        <f>SUM(Table1[[#This Row],[2022 People trained in First Aid]],Table1[[#This Row],[2023 People trained in First Aid]],Table1[[#This Row],[2024 People trained in First Aid]])</f>
        <v>75920</v>
      </c>
      <c r="K103" s="3">
        <f>Table1[[#This Row],[sum TRAINED ]]/Table1[[#This Row],[population 2023]]*100</f>
        <v>0.19585766204357966</v>
      </c>
    </row>
    <row r="104" spans="1:11" x14ac:dyDescent="0.35">
      <c r="A104" t="s">
        <v>18</v>
      </c>
      <c r="B104">
        <v>3074</v>
      </c>
      <c r="C104">
        <v>1809</v>
      </c>
      <c r="D104">
        <v>9517</v>
      </c>
      <c r="E104" t="s">
        <v>191</v>
      </c>
      <c r="F104">
        <v>7364438</v>
      </c>
      <c r="G104">
        <f>Table1[[#This Row],[2022 People trained in First Aid]]/Table1[[#This Row],[population 2023]]*100</f>
        <v>4.1741134897191071E-2</v>
      </c>
      <c r="H104">
        <f>Table1[[#This Row],[2023 People trained in First Aid]]/Table1[[#This Row],[population 2023]]*100</f>
        <v>2.4563992527332022E-2</v>
      </c>
      <c r="I104">
        <f>Table1[[#This Row],[2024 People trained in First Aid]]/Table1[[#This Row],[population 2023]]*100</f>
        <v>0.12922914144976169</v>
      </c>
      <c r="J104" s="3">
        <f>SUM(Table1[[#This Row],[2022 People trained in First Aid]],Table1[[#This Row],[2023 People trained in First Aid]],Table1[[#This Row],[2024 People trained in First Aid]])</f>
        <v>14400</v>
      </c>
      <c r="K104" s="3">
        <f>Table1[[#This Row],[sum TRAINED ]]/Table1[[#This Row],[population 2023]]*100</f>
        <v>0.19553426887428477</v>
      </c>
    </row>
    <row r="105" spans="1:11" x14ac:dyDescent="0.35">
      <c r="A105" t="s">
        <v>58</v>
      </c>
      <c r="B105">
        <v>26523</v>
      </c>
      <c r="C105">
        <v>40951</v>
      </c>
      <c r="D105">
        <v>46762</v>
      </c>
      <c r="E105" t="s">
        <v>214</v>
      </c>
      <c r="F105">
        <v>59499453</v>
      </c>
      <c r="G105">
        <f>Table1[[#This Row],[2022 People trained in First Aid]]/Table1[[#This Row],[population 2023]]*100</f>
        <v>4.4576880395858429E-2</v>
      </c>
      <c r="H105">
        <f>Table1[[#This Row],[2023 People trained in First Aid]]/Table1[[#This Row],[population 2023]]*100</f>
        <v>6.8825842819092806E-2</v>
      </c>
      <c r="I105">
        <f>Table1[[#This Row],[2024 People trained in First Aid]]/Table1[[#This Row],[population 2023]]*100</f>
        <v>7.8592319159640003E-2</v>
      </c>
      <c r="J105" s="3">
        <f>SUM(Table1[[#This Row],[2022 People trained in First Aid]],Table1[[#This Row],[2023 People trained in First Aid]],Table1[[#This Row],[2024 People trained in First Aid]])</f>
        <v>114236</v>
      </c>
      <c r="K105" s="3">
        <f>Table1[[#This Row],[sum TRAINED ]]/Table1[[#This Row],[population 2023]]*100</f>
        <v>0.19199504237459125</v>
      </c>
    </row>
    <row r="106" spans="1:11" x14ac:dyDescent="0.35">
      <c r="A106" t="s">
        <v>52</v>
      </c>
      <c r="B106">
        <v>967</v>
      </c>
      <c r="C106">
        <v>948</v>
      </c>
      <c r="D106">
        <v>592</v>
      </c>
      <c r="E106" t="s">
        <v>212</v>
      </c>
      <c r="F106">
        <v>1344976</v>
      </c>
      <c r="G106">
        <f>Table1[[#This Row],[2022 People trained in First Aid]]/Table1[[#This Row],[population 2023]]*100</f>
        <v>7.1897193704571691E-2</v>
      </c>
      <c r="H106">
        <f>Table1[[#This Row],[2023 People trained in First Aid]]/Table1[[#This Row],[population 2023]]*100</f>
        <v>7.0484529091968923E-2</v>
      </c>
      <c r="I106">
        <f>Table1[[#This Row],[2024 People trained in First Aid]]/Table1[[#This Row],[population 2023]]*100</f>
        <v>4.4015655297938397E-2</v>
      </c>
      <c r="J106" s="3">
        <f>SUM(Table1[[#This Row],[2022 People trained in First Aid]],Table1[[#This Row],[2023 People trained in First Aid]],Table1[[#This Row],[2024 People trained in First Aid]])</f>
        <v>2507</v>
      </c>
      <c r="K106" s="3">
        <f>Table1[[#This Row],[sum TRAINED ]]/Table1[[#This Row],[population 2023]]*100</f>
        <v>0.18639737809447901</v>
      </c>
    </row>
    <row r="107" spans="1:11" x14ac:dyDescent="0.35">
      <c r="A107" t="s">
        <v>26</v>
      </c>
      <c r="B107">
        <v>1485</v>
      </c>
      <c r="C107">
        <v>1310</v>
      </c>
      <c r="D107">
        <v>1745</v>
      </c>
      <c r="E107" t="s">
        <v>197</v>
      </c>
      <c r="F107">
        <v>2480245</v>
      </c>
      <c r="G107">
        <f>Table1[[#This Row],[2022 People trained in First Aid]]/Table1[[#This Row],[population 2023]]*100</f>
        <v>5.9873117373485281E-2</v>
      </c>
      <c r="H107">
        <f>Table1[[#This Row],[2023 People trained in First Aid]]/Table1[[#This Row],[population 2023]]*100</f>
        <v>5.2817362800852335E-2</v>
      </c>
      <c r="I107">
        <f>Table1[[#This Row],[2024 People trained in First Aid]]/Table1[[#This Row],[population 2023]]*100</f>
        <v>7.0355952738539937E-2</v>
      </c>
      <c r="J107" s="3">
        <f>SUM(Table1[[#This Row],[2022 People trained in First Aid]],Table1[[#This Row],[2023 People trained in First Aid]],Table1[[#This Row],[2024 People trained in First Aid]])</f>
        <v>4540</v>
      </c>
      <c r="K107" s="3">
        <f>Table1[[#This Row],[sum TRAINED ]]/Table1[[#This Row],[population 2023]]*100</f>
        <v>0.18304643291287756</v>
      </c>
    </row>
    <row r="108" spans="1:11" x14ac:dyDescent="0.35">
      <c r="A108" t="s">
        <v>15</v>
      </c>
      <c r="B108">
        <v>21200</v>
      </c>
      <c r="C108">
        <v>24802</v>
      </c>
      <c r="D108">
        <v>17986</v>
      </c>
      <c r="E108" t="s">
        <v>188</v>
      </c>
      <c r="F108">
        <v>35652307</v>
      </c>
      <c r="G108">
        <f>Table1[[#This Row],[2022 People trained in First Aid]]/Table1[[#This Row],[population 2023]]*100</f>
        <v>5.9463192662399092E-2</v>
      </c>
      <c r="H108">
        <f>Table1[[#This Row],[2023 People trained in First Aid]]/Table1[[#This Row],[population 2023]]*100</f>
        <v>6.9566325679850105E-2</v>
      </c>
      <c r="I108">
        <f>Table1[[#This Row],[2024 People trained in First Aid]]/Table1[[#This Row],[population 2023]]*100</f>
        <v>5.0448348265373123E-2</v>
      </c>
      <c r="J108" s="3">
        <f>SUM(Table1[[#This Row],[2022 People trained in First Aid]],Table1[[#This Row],[2023 People trained in First Aid]],Table1[[#This Row],[2024 People trained in First Aid]])</f>
        <v>63988</v>
      </c>
      <c r="K108" s="3">
        <f>Table1[[#This Row],[sum TRAINED ]]/Table1[[#This Row],[population 2023]]*100</f>
        <v>0.17947786660762233</v>
      </c>
    </row>
    <row r="109" spans="1:11" x14ac:dyDescent="0.35">
      <c r="A109" t="s">
        <v>117</v>
      </c>
      <c r="B109">
        <v>71</v>
      </c>
      <c r="C109">
        <v>743</v>
      </c>
      <c r="D109">
        <v>664</v>
      </c>
      <c r="E109" t="s">
        <v>244</v>
      </c>
      <c r="F109">
        <v>826353</v>
      </c>
      <c r="G109">
        <f>Table1[[#This Row],[2022 People trained in First Aid]]/Table1[[#This Row],[population 2023]]*100</f>
        <v>8.5919697756285749E-3</v>
      </c>
      <c r="H109">
        <f>Table1[[#This Row],[2023 People trained in First Aid]]/Table1[[#This Row],[population 2023]]*100</f>
        <v>8.9913148497070855E-2</v>
      </c>
      <c r="I109">
        <f>Table1[[#This Row],[2024 People trained in First Aid]]/Table1[[#This Row],[population 2023]]*100</f>
        <v>8.035306945094893E-2</v>
      </c>
      <c r="J109" s="3">
        <f>SUM(Table1[[#This Row],[2022 People trained in First Aid]],Table1[[#This Row],[2023 People trained in First Aid]],Table1[[#This Row],[2024 People trained in First Aid]])</f>
        <v>1478</v>
      </c>
      <c r="K109" s="3">
        <f>Table1[[#This Row],[sum TRAINED ]]/Table1[[#This Row],[population 2023]]*100</f>
        <v>0.17885818772364837</v>
      </c>
    </row>
    <row r="110" spans="1:11" x14ac:dyDescent="0.35">
      <c r="A110" t="s">
        <v>36</v>
      </c>
      <c r="B110">
        <v>23614</v>
      </c>
      <c r="C110">
        <v>25259</v>
      </c>
      <c r="D110">
        <v>43908</v>
      </c>
      <c r="E110" t="s">
        <v>300</v>
      </c>
      <c r="F110">
        <v>52321153</v>
      </c>
      <c r="G110">
        <f>Table1[[#This Row],[2022 People trained in First Aid]]/Table1[[#This Row],[population 2023]]*100</f>
        <v>4.5132797436631414E-2</v>
      </c>
      <c r="H110">
        <f>Table1[[#This Row],[2023 People trained in First Aid]]/Table1[[#This Row],[population 2023]]*100</f>
        <v>4.827684129973206E-2</v>
      </c>
      <c r="I110">
        <f>Table1[[#This Row],[2024 People trained in First Aid]]/Table1[[#This Row],[population 2023]]*100</f>
        <v>8.3920168961108335E-2</v>
      </c>
      <c r="J110" s="3">
        <f>SUM(Table1[[#This Row],[2022 People trained in First Aid]],Table1[[#This Row],[2023 People trained in First Aid]],Table1[[#This Row],[2024 People trained in First Aid]])</f>
        <v>92781</v>
      </c>
      <c r="K110" s="3">
        <f>Table1[[#This Row],[sum TRAINED ]]/Table1[[#This Row],[population 2023]]*100</f>
        <v>0.17732980769747181</v>
      </c>
    </row>
    <row r="111" spans="1:11" x14ac:dyDescent="0.35">
      <c r="A111" t="s">
        <v>69</v>
      </c>
      <c r="B111">
        <v>38792</v>
      </c>
      <c r="C111">
        <v>35216</v>
      </c>
      <c r="D111">
        <v>4400</v>
      </c>
      <c r="E111" t="s">
        <v>288</v>
      </c>
      <c r="F111">
        <v>45538401</v>
      </c>
      <c r="G111">
        <f>Table1[[#This Row],[2022 People trained in First Aid]]/Table1[[#This Row],[population 2023]]*100</f>
        <v>8.5185248379713641E-2</v>
      </c>
      <c r="H111">
        <f>Table1[[#This Row],[2023 People trained in First Aid]]/Table1[[#This Row],[population 2023]]*100</f>
        <v>7.733253523767776E-2</v>
      </c>
      <c r="I111">
        <f>Table1[[#This Row],[2024 People trained in First Aid]]/Table1[[#This Row],[population 2023]]*100</f>
        <v>9.6621750069792751E-3</v>
      </c>
      <c r="J111" s="3">
        <f>SUM(Table1[[#This Row],[2022 People trained in First Aid]],Table1[[#This Row],[2023 People trained in First Aid]],Table1[[#This Row],[2024 People trained in First Aid]])</f>
        <v>78408</v>
      </c>
      <c r="K111" s="3">
        <f>Table1[[#This Row],[sum TRAINED ]]/Table1[[#This Row],[population 2023]]*100</f>
        <v>0.17217995862437069</v>
      </c>
    </row>
    <row r="112" spans="1:11" x14ac:dyDescent="0.35">
      <c r="A112" t="s">
        <v>89</v>
      </c>
      <c r="B112">
        <v>1701</v>
      </c>
      <c r="C112">
        <v>6584</v>
      </c>
      <c r="D112">
        <v>3388</v>
      </c>
      <c r="E112" t="s">
        <v>336</v>
      </c>
      <c r="F112">
        <v>6844146</v>
      </c>
      <c r="G112">
        <f>Table1[[#This Row],[2022 People trained in First Aid]]/Table1[[#This Row],[population 2023]]*100</f>
        <v>2.4853356430444357E-2</v>
      </c>
      <c r="H112">
        <f>Table1[[#This Row],[2023 People trained in First Aid]]/Table1[[#This Row],[population 2023]]*100</f>
        <v>9.6198999845999777E-2</v>
      </c>
      <c r="I112">
        <f>Table1[[#This Row],[2024 People trained in First Aid]]/Table1[[#This Row],[population 2023]]*100</f>
        <v>4.9502158486975582E-2</v>
      </c>
      <c r="J112" s="3">
        <f>SUM(Table1[[#This Row],[2022 People trained in First Aid]],Table1[[#This Row],[2023 People trained in First Aid]],Table1[[#This Row],[2024 People trained in First Aid]])</f>
        <v>11673</v>
      </c>
      <c r="K112" s="3">
        <f>Table1[[#This Row],[sum TRAINED ]]/Table1[[#This Row],[population 2023]]*100</f>
        <v>0.17055451476341971</v>
      </c>
    </row>
    <row r="113" spans="1:11" x14ac:dyDescent="0.35">
      <c r="A113" t="s">
        <v>65</v>
      </c>
      <c r="B113">
        <v>1600</v>
      </c>
      <c r="C113">
        <v>2062</v>
      </c>
      <c r="D113">
        <v>360</v>
      </c>
      <c r="E113" t="s">
        <v>219</v>
      </c>
      <c r="F113">
        <v>2839786</v>
      </c>
      <c r="G113">
        <f>Table1[[#This Row],[2022 People trained in First Aid]]/Table1[[#This Row],[population 2023]]*100</f>
        <v>5.6342273678368721E-2</v>
      </c>
      <c r="H113">
        <f>Table1[[#This Row],[2023 People trained in First Aid]]/Table1[[#This Row],[population 2023]]*100</f>
        <v>7.2611105202997683E-2</v>
      </c>
      <c r="I113">
        <f>Table1[[#This Row],[2024 People trained in First Aid]]/Table1[[#This Row],[population 2023]]*100</f>
        <v>1.2677011577632961E-2</v>
      </c>
      <c r="J113" s="3">
        <f>SUM(Table1[[#This Row],[2022 People trained in First Aid]],Table1[[#This Row],[2023 People trained in First Aid]],Table1[[#This Row],[2024 People trained in First Aid]])</f>
        <v>4022</v>
      </c>
      <c r="K113" s="3">
        <f>Table1[[#This Row],[sum TRAINED ]]/Table1[[#This Row],[population 2023]]*100</f>
        <v>0.14163039045899936</v>
      </c>
    </row>
    <row r="114" spans="1:11" x14ac:dyDescent="0.35">
      <c r="A114" t="s">
        <v>130</v>
      </c>
      <c r="B114">
        <v>350</v>
      </c>
      <c r="C114">
        <v>490</v>
      </c>
      <c r="D114">
        <v>2402</v>
      </c>
      <c r="E114" t="s">
        <v>250</v>
      </c>
      <c r="F114">
        <v>2311472</v>
      </c>
      <c r="G114">
        <f>Table1[[#This Row],[2022 People trained in First Aid]]/Table1[[#This Row],[population 2023]]*100</f>
        <v>1.5141866308568739E-2</v>
      </c>
      <c r="H114">
        <f>Table1[[#This Row],[2023 People trained in First Aid]]/Table1[[#This Row],[population 2023]]*100</f>
        <v>2.1198612831996234E-2</v>
      </c>
      <c r="I114">
        <f>Table1[[#This Row],[2024 People trained in First Aid]]/Table1[[#This Row],[population 2023]]*100</f>
        <v>0.1039164653519489</v>
      </c>
      <c r="J114" s="3">
        <f>SUM(Table1[[#This Row],[2022 People trained in First Aid]],Table1[[#This Row],[2023 People trained in First Aid]],Table1[[#This Row],[2024 People trained in First Aid]])</f>
        <v>3242</v>
      </c>
      <c r="K114" s="3">
        <f>Table1[[#This Row],[sum TRAINED ]]/Table1[[#This Row],[population 2023]]*100</f>
        <v>0.14025694449251386</v>
      </c>
    </row>
    <row r="115" spans="1:11" x14ac:dyDescent="0.35">
      <c r="A115" t="s">
        <v>113</v>
      </c>
      <c r="B115">
        <v>10500</v>
      </c>
      <c r="C115">
        <v>10700</v>
      </c>
      <c r="D115">
        <v>3210</v>
      </c>
      <c r="E115" t="s">
        <v>308</v>
      </c>
      <c r="F115">
        <v>17980083</v>
      </c>
      <c r="G115">
        <f>Table1[[#This Row],[2022 People trained in First Aid]]/Table1[[#This Row],[population 2023]]*100</f>
        <v>5.8397950665744984E-2</v>
      </c>
      <c r="H115">
        <f>Table1[[#This Row],[2023 People trained in First Aid]]/Table1[[#This Row],[population 2023]]*100</f>
        <v>5.9510292583187741E-2</v>
      </c>
      <c r="I115">
        <f>Table1[[#This Row],[2024 People trained in First Aid]]/Table1[[#This Row],[population 2023]]*100</f>
        <v>1.7853087774956325E-2</v>
      </c>
      <c r="J115" s="3">
        <f>SUM(Table1[[#This Row],[2022 People trained in First Aid]],Table1[[#This Row],[2023 People trained in First Aid]],Table1[[#This Row],[2024 People trained in First Aid]])</f>
        <v>24410</v>
      </c>
      <c r="K115" s="3">
        <f>Table1[[#This Row],[sum TRAINED ]]/Table1[[#This Row],[population 2023]]*100</f>
        <v>0.13576133102388904</v>
      </c>
    </row>
    <row r="116" spans="1:11" x14ac:dyDescent="0.35">
      <c r="A116" t="s">
        <v>112</v>
      </c>
      <c r="B116">
        <v>66180</v>
      </c>
      <c r="C116">
        <v>61505</v>
      </c>
      <c r="D116">
        <v>40926</v>
      </c>
      <c r="E116" t="s">
        <v>330</v>
      </c>
      <c r="F116">
        <v>129739759</v>
      </c>
      <c r="G116">
        <f>Table1[[#This Row],[2022 People trained in First Aid]]/Table1[[#This Row],[population 2023]]*100</f>
        <v>5.1009806484995861E-2</v>
      </c>
      <c r="H116">
        <f>Table1[[#This Row],[2023 People trained in First Aid]]/Table1[[#This Row],[population 2023]]*100</f>
        <v>4.7406439224231947E-2</v>
      </c>
      <c r="I116">
        <f>Table1[[#This Row],[2024 People trained in First Aid]]/Table1[[#This Row],[population 2023]]*100</f>
        <v>3.1544686313160174E-2</v>
      </c>
      <c r="J116" s="3">
        <f>SUM(Table1[[#This Row],[2022 People trained in First Aid]],Table1[[#This Row],[2023 People trained in First Aid]],Table1[[#This Row],[2024 People trained in First Aid]])</f>
        <v>168611</v>
      </c>
      <c r="K116" s="3">
        <f>Table1[[#This Row],[sum TRAINED ]]/Table1[[#This Row],[population 2023]]*100</f>
        <v>0.12996093202238798</v>
      </c>
    </row>
    <row r="117" spans="1:11" x14ac:dyDescent="0.35">
      <c r="A117" t="s">
        <v>62</v>
      </c>
      <c r="B117">
        <v>408</v>
      </c>
      <c r="C117">
        <v>682</v>
      </c>
      <c r="D117">
        <v>542</v>
      </c>
      <c r="E117" t="s">
        <v>217</v>
      </c>
      <c r="F117">
        <v>1273588</v>
      </c>
      <c r="G117">
        <f>Table1[[#This Row],[2022 People trained in First Aid]]/Table1[[#This Row],[population 2023]]*100</f>
        <v>3.2035477721209682E-2</v>
      </c>
      <c r="H117">
        <f>Table1[[#This Row],[2023 People trained in First Aid]]/Table1[[#This Row],[population 2023]]*100</f>
        <v>5.3549499524178937E-2</v>
      </c>
      <c r="I117">
        <f>Table1[[#This Row],[2024 People trained in First Aid]]/Table1[[#This Row],[population 2023]]*100</f>
        <v>4.2556933639450123E-2</v>
      </c>
      <c r="J117" s="3">
        <f>SUM(Table1[[#This Row],[2022 People trained in First Aid]],Table1[[#This Row],[2023 People trained in First Aid]],Table1[[#This Row],[2024 People trained in First Aid]])</f>
        <v>1632</v>
      </c>
      <c r="K117" s="3">
        <f>Table1[[#This Row],[sum TRAINED ]]/Table1[[#This Row],[population 2023]]*100</f>
        <v>0.12814191088483873</v>
      </c>
    </row>
    <row r="118" spans="1:11" x14ac:dyDescent="0.35">
      <c r="A118" t="s">
        <v>67</v>
      </c>
      <c r="B118">
        <v>2157</v>
      </c>
      <c r="C118">
        <v>1447</v>
      </c>
      <c r="D118">
        <v>1690</v>
      </c>
      <c r="E118" t="s">
        <v>220</v>
      </c>
      <c r="F118">
        <v>4458759</v>
      </c>
      <c r="G118">
        <f>Table1[[#This Row],[2022 People trained in First Aid]]/Table1[[#This Row],[population 2023]]*100</f>
        <v>4.8376689567657727E-2</v>
      </c>
      <c r="H118">
        <f>Table1[[#This Row],[2023 People trained in First Aid]]/Table1[[#This Row],[population 2023]]*100</f>
        <v>3.2452976265368909E-2</v>
      </c>
      <c r="I118">
        <f>Table1[[#This Row],[2024 People trained in First Aid]]/Table1[[#This Row],[population 2023]]*100</f>
        <v>3.7902923212490294E-2</v>
      </c>
      <c r="J118" s="3">
        <f>SUM(Table1[[#This Row],[2022 People trained in First Aid]],Table1[[#This Row],[2023 People trained in First Aid]],Table1[[#This Row],[2024 People trained in First Aid]])</f>
        <v>5294</v>
      </c>
      <c r="K118" s="3">
        <f>Table1[[#This Row],[sum TRAINED ]]/Table1[[#This Row],[population 2023]]*100</f>
        <v>0.11873258904551692</v>
      </c>
    </row>
    <row r="119" spans="1:11" x14ac:dyDescent="0.35">
      <c r="A119" t="s">
        <v>39</v>
      </c>
      <c r="B119">
        <v>436</v>
      </c>
      <c r="C119">
        <v>865</v>
      </c>
      <c r="D119">
        <v>312</v>
      </c>
      <c r="E119" t="s">
        <v>203</v>
      </c>
      <c r="F119">
        <v>1384286</v>
      </c>
      <c r="G119">
        <f>Table1[[#This Row],[2022 People trained in First Aid]]/Table1[[#This Row],[population 2023]]*100</f>
        <v>3.1496381528094627E-2</v>
      </c>
      <c r="H119">
        <f>Table1[[#This Row],[2023 People trained in First Aid]]/Table1[[#This Row],[population 2023]]*100</f>
        <v>6.2487087205967559E-2</v>
      </c>
      <c r="I119">
        <f>Table1[[#This Row],[2024 People trained in First Aid]]/Table1[[#This Row],[population 2023]]*100</f>
        <v>2.2538695038453037E-2</v>
      </c>
      <c r="J119" s="3">
        <f>SUM(Table1[[#This Row],[2022 People trained in First Aid]],Table1[[#This Row],[2023 People trained in First Aid]],Table1[[#This Row],[2024 People trained in First Aid]])</f>
        <v>1613</v>
      </c>
      <c r="K119" s="3">
        <f>Table1[[#This Row],[sum TRAINED ]]/Table1[[#This Row],[population 2023]]*100</f>
        <v>0.11652216377251522</v>
      </c>
    </row>
    <row r="120" spans="1:11" x14ac:dyDescent="0.35">
      <c r="A120" t="s">
        <v>171</v>
      </c>
      <c r="B120">
        <v>13395</v>
      </c>
      <c r="C120">
        <v>8108</v>
      </c>
      <c r="D120">
        <v>2106</v>
      </c>
      <c r="E120" t="s">
        <v>269</v>
      </c>
      <c r="F120">
        <v>21104483</v>
      </c>
      <c r="G120">
        <f>Table1[[#This Row],[2022 People trained in First Aid]]/Table1[[#This Row],[population 2023]]*100</f>
        <v>6.3469927218780961E-2</v>
      </c>
      <c r="H120">
        <f>Table1[[#This Row],[2023 People trained in First Aid]]/Table1[[#This Row],[population 2023]]*100</f>
        <v>3.8418377744671599E-2</v>
      </c>
      <c r="I120">
        <f>Table1[[#This Row],[2024 People trained in First Aid]]/Table1[[#This Row],[population 2023]]*100</f>
        <v>9.9789224877008358E-3</v>
      </c>
      <c r="J120" s="3">
        <f>SUM(Table1[[#This Row],[2022 People trained in First Aid]],Table1[[#This Row],[2023 People trained in First Aid]],Table1[[#This Row],[2024 People trained in First Aid]])</f>
        <v>23609</v>
      </c>
      <c r="K120" s="3">
        <f>Table1[[#This Row],[sum TRAINED ]]/Table1[[#This Row],[population 2023]]*100</f>
        <v>0.11186722745115339</v>
      </c>
    </row>
    <row r="121" spans="1:11" x14ac:dyDescent="0.35">
      <c r="A121" t="s">
        <v>162</v>
      </c>
      <c r="B121">
        <v>970</v>
      </c>
      <c r="C121">
        <v>800</v>
      </c>
      <c r="D121">
        <v>550</v>
      </c>
      <c r="E121" t="s">
        <v>264</v>
      </c>
      <c r="F121">
        <v>2153339</v>
      </c>
      <c r="G121">
        <f>Table1[[#This Row],[2022 People trained in First Aid]]/Table1[[#This Row],[population 2023]]*100</f>
        <v>4.5046321085532748E-2</v>
      </c>
      <c r="H121">
        <f>Table1[[#This Row],[2023 People trained in First Aid]]/Table1[[#This Row],[population 2023]]*100</f>
        <v>3.715160501899608E-2</v>
      </c>
      <c r="I121">
        <f>Table1[[#This Row],[2024 People trained in First Aid]]/Table1[[#This Row],[population 2023]]*100</f>
        <v>2.5541728450559804E-2</v>
      </c>
      <c r="J121" s="3">
        <f>SUM(Table1[[#This Row],[2022 People trained in First Aid]],Table1[[#This Row],[2023 People trained in First Aid]],Table1[[#This Row],[2024 People trained in First Aid]])</f>
        <v>2320</v>
      </c>
      <c r="K121" s="3">
        <f>Table1[[#This Row],[sum TRAINED ]]/Table1[[#This Row],[population 2023]]*100</f>
        <v>0.10773965455508863</v>
      </c>
    </row>
    <row r="122" spans="1:11" x14ac:dyDescent="0.35">
      <c r="A122" t="s">
        <v>90</v>
      </c>
      <c r="B122">
        <v>1984</v>
      </c>
      <c r="C122">
        <v>3612</v>
      </c>
      <c r="E122" t="s">
        <v>320</v>
      </c>
      <c r="F122">
        <v>5196630</v>
      </c>
      <c r="G122">
        <f>Table1[[#This Row],[2022 People trained in First Aid]]/Table1[[#This Row],[population 2023]]*100</f>
        <v>3.8178588816213582E-2</v>
      </c>
      <c r="H122">
        <f>Table1[[#This Row],[2023 People trained in First Aid]]/Table1[[#This Row],[population 2023]]*100</f>
        <v>6.9506584074679162E-2</v>
      </c>
      <c r="I122">
        <f>Table1[[#This Row],[2024 People trained in First Aid]]/Table1[[#This Row],[population 2023]]*100</f>
        <v>0</v>
      </c>
      <c r="J122" s="3">
        <f>SUM(Table1[[#This Row],[2022 People trained in First Aid]],Table1[[#This Row],[2023 People trained in First Aid]],Table1[[#This Row],[2024 People trained in First Aid]])</f>
        <v>5596</v>
      </c>
      <c r="K122" s="3">
        <f>Table1[[#This Row],[sum TRAINED ]]/Table1[[#This Row],[population 2023]]*100</f>
        <v>0.10768517289089276</v>
      </c>
    </row>
    <row r="123" spans="1:11" x14ac:dyDescent="0.35">
      <c r="A123" t="s">
        <v>78</v>
      </c>
      <c r="B123">
        <v>31747</v>
      </c>
      <c r="C123">
        <v>22196</v>
      </c>
      <c r="D123">
        <v>23251</v>
      </c>
      <c r="E123" t="s">
        <v>351</v>
      </c>
      <c r="F123">
        <v>71702435</v>
      </c>
      <c r="G123">
        <f>Table1[[#This Row],[2022 People trained in First Aid]]/Table1[[#This Row],[population 2023]]*100</f>
        <v>4.4276041671388149E-2</v>
      </c>
      <c r="H123">
        <f>Table1[[#This Row],[2023 People trained in First Aid]]/Table1[[#This Row],[population 2023]]*100</f>
        <v>3.0955713010304323E-2</v>
      </c>
      <c r="I123">
        <f>Table1[[#This Row],[2024 People trained in First Aid]]/Table1[[#This Row],[population 2023]]*100</f>
        <v>3.2427071688709036E-2</v>
      </c>
      <c r="J123" s="3">
        <f>SUM(Table1[[#This Row],[2022 People trained in First Aid]],Table1[[#This Row],[2023 People trained in First Aid]],Table1[[#This Row],[2024 People trained in First Aid]])</f>
        <v>77194</v>
      </c>
      <c r="K123" s="3">
        <f>Table1[[#This Row],[sum TRAINED ]]/Table1[[#This Row],[population 2023]]*100</f>
        <v>0.1076588263704015</v>
      </c>
    </row>
    <row r="124" spans="1:11" x14ac:dyDescent="0.35">
      <c r="A124" t="s">
        <v>70</v>
      </c>
      <c r="B124">
        <v>2310</v>
      </c>
      <c r="C124">
        <v>919</v>
      </c>
      <c r="D124">
        <v>2250</v>
      </c>
      <c r="E124" t="s">
        <v>302</v>
      </c>
      <c r="F124">
        <v>5105526</v>
      </c>
      <c r="G124">
        <f>Table1[[#This Row],[2022 People trained in First Aid]]/Table1[[#This Row],[population 2023]]*100</f>
        <v>4.5245093257775988E-2</v>
      </c>
      <c r="H124">
        <f>Table1[[#This Row],[2023 People trained in First Aid]]/Table1[[#This Row],[population 2023]]*100</f>
        <v>1.8000104200820835E-2</v>
      </c>
      <c r="I124">
        <f>Table1[[#This Row],[2024 People trained in First Aid]]/Table1[[#This Row],[population 2023]]*100</f>
        <v>4.4069896030301287E-2</v>
      </c>
      <c r="J124" s="3">
        <f>SUM(Table1[[#This Row],[2022 People trained in First Aid]],Table1[[#This Row],[2023 People trained in First Aid]],Table1[[#This Row],[2024 People trained in First Aid]])</f>
        <v>5479</v>
      </c>
      <c r="K124" s="3">
        <f>Table1[[#This Row],[sum TRAINED ]]/Table1[[#This Row],[population 2023]]*100</f>
        <v>0.1073150934888981</v>
      </c>
    </row>
    <row r="125" spans="1:11" x14ac:dyDescent="0.35">
      <c r="A125" t="s">
        <v>75</v>
      </c>
      <c r="B125">
        <v>3945</v>
      </c>
      <c r="C125">
        <v>1276</v>
      </c>
      <c r="D125">
        <v>5447</v>
      </c>
      <c r="E125" t="s">
        <v>315</v>
      </c>
      <c r="F125">
        <v>10644851</v>
      </c>
      <c r="G125">
        <f>Table1[[#This Row],[2022 People trained in First Aid]]/Table1[[#This Row],[population 2023]]*100</f>
        <v>3.7060171156928362E-2</v>
      </c>
      <c r="H125">
        <f>Table1[[#This Row],[2023 People trained in First Aid]]/Table1[[#This Row],[population 2023]]*100</f>
        <v>1.1987016070022963E-2</v>
      </c>
      <c r="I125">
        <f>Table1[[#This Row],[2024 People trained in First Aid]]/Table1[[#This Row],[population 2023]]*100</f>
        <v>5.1170279414902098E-2</v>
      </c>
      <c r="J125" s="3">
        <f>SUM(Table1[[#This Row],[2022 People trained in First Aid]],Table1[[#This Row],[2023 People trained in First Aid]],Table1[[#This Row],[2024 People trained in First Aid]])</f>
        <v>10668</v>
      </c>
      <c r="K125" s="3">
        <f>Table1[[#This Row],[sum TRAINED ]]/Table1[[#This Row],[population 2023]]*100</f>
        <v>0.10021746664185342</v>
      </c>
    </row>
    <row r="126" spans="1:11" x14ac:dyDescent="0.35">
      <c r="A126" t="s">
        <v>160</v>
      </c>
      <c r="B126">
        <v>237</v>
      </c>
      <c r="C126">
        <v>101</v>
      </c>
      <c r="D126">
        <v>505</v>
      </c>
      <c r="E126" t="s">
        <v>361</v>
      </c>
      <c r="F126">
        <v>850387</v>
      </c>
      <c r="G126">
        <f>Table1[[#This Row],[2022 People trained in First Aid]]/Table1[[#This Row],[population 2023]]*100</f>
        <v>2.7869664047075037E-2</v>
      </c>
      <c r="H126">
        <f>Table1[[#This Row],[2023 People trained in First Aid]]/Table1[[#This Row],[population 2023]]*100</f>
        <v>1.1876945437783032E-2</v>
      </c>
      <c r="I126">
        <f>Table1[[#This Row],[2024 People trained in First Aid]]/Table1[[#This Row],[population 2023]]*100</f>
        <v>5.938472718891516E-2</v>
      </c>
      <c r="J126" s="3">
        <f>SUM(Table1[[#This Row],[2022 People trained in First Aid]],Table1[[#This Row],[2023 People trained in First Aid]],Table1[[#This Row],[2024 People trained in First Aid]])</f>
        <v>843</v>
      </c>
      <c r="K126" s="3">
        <f>Table1[[#This Row],[sum TRAINED ]]/Table1[[#This Row],[population 2023]]*100</f>
        <v>9.9131336673773232E-2</v>
      </c>
    </row>
    <row r="127" spans="1:11" x14ac:dyDescent="0.35">
      <c r="A127" t="s">
        <v>167</v>
      </c>
      <c r="B127">
        <v>2065</v>
      </c>
      <c r="C127">
        <v>917</v>
      </c>
      <c r="D127">
        <v>3797</v>
      </c>
      <c r="E127" t="s">
        <v>326</v>
      </c>
      <c r="F127">
        <v>7305659</v>
      </c>
      <c r="G127">
        <f>Table1[[#This Row],[2022 People trained in First Aid]]/Table1[[#This Row],[population 2023]]*100</f>
        <v>2.8265759461261468E-2</v>
      </c>
      <c r="H127">
        <f>Table1[[#This Row],[2023 People trained in First Aid]]/Table1[[#This Row],[population 2023]]*100</f>
        <v>1.2551913523475431E-2</v>
      </c>
      <c r="I127">
        <f>Table1[[#This Row],[2024 People trained in First Aid]]/Table1[[#This Row],[population 2023]]*100</f>
        <v>5.1973408559036219E-2</v>
      </c>
      <c r="J127" s="3">
        <f>SUM(Table1[[#This Row],[2022 People trained in First Aid]],Table1[[#This Row],[2023 People trained in First Aid]],Table1[[#This Row],[2024 People trained in First Aid]])</f>
        <v>6779</v>
      </c>
      <c r="K127" s="3">
        <f>Table1[[#This Row],[sum TRAINED ]]/Table1[[#This Row],[population 2023]]*100</f>
        <v>9.2791081543773121E-2</v>
      </c>
    </row>
    <row r="128" spans="1:11" x14ac:dyDescent="0.35">
      <c r="A128" t="s">
        <v>87</v>
      </c>
      <c r="B128">
        <v>5256</v>
      </c>
      <c r="C128">
        <v>3125</v>
      </c>
      <c r="D128">
        <v>4948</v>
      </c>
      <c r="E128" t="s">
        <v>229</v>
      </c>
      <c r="F128">
        <v>14405468</v>
      </c>
      <c r="G128">
        <f>Table1[[#This Row],[2022 People trained in First Aid]]/Table1[[#This Row],[population 2023]]*100</f>
        <v>3.6486145399788471E-2</v>
      </c>
      <c r="H128">
        <f>Table1[[#This Row],[2023 People trained in First Aid]]/Table1[[#This Row],[population 2023]]*100</f>
        <v>2.169315151718778E-2</v>
      </c>
      <c r="I128">
        <f>Table1[[#This Row],[2024 People trained in First Aid]]/Table1[[#This Row],[population 2023]]*100</f>
        <v>3.4348068386254441E-2</v>
      </c>
      <c r="J128" s="3">
        <f>SUM(Table1[[#This Row],[2022 People trained in First Aid]],Table1[[#This Row],[2023 People trained in First Aid]],Table1[[#This Row],[2024 People trained in First Aid]])</f>
        <v>13329</v>
      </c>
      <c r="K128" s="3">
        <f>Table1[[#This Row],[sum TRAINED ]]/Table1[[#This Row],[population 2023]]*100</f>
        <v>9.2527365303230691E-2</v>
      </c>
    </row>
    <row r="129" spans="1:11" x14ac:dyDescent="0.35">
      <c r="A129" t="s">
        <v>131</v>
      </c>
      <c r="B129">
        <v>1711</v>
      </c>
      <c r="C129">
        <v>3790</v>
      </c>
      <c r="D129">
        <v>1488</v>
      </c>
      <c r="E129" t="s">
        <v>324</v>
      </c>
      <c r="F129">
        <v>7664993</v>
      </c>
      <c r="G129">
        <f>Table1[[#This Row],[2022 People trained in First Aid]]/Table1[[#This Row],[population 2023]]*100</f>
        <v>2.2322264351709128E-2</v>
      </c>
      <c r="H129">
        <f>Table1[[#This Row],[2023 People trained in First Aid]]/Table1[[#This Row],[population 2023]]*100</f>
        <v>4.9445576793090355E-2</v>
      </c>
      <c r="I129">
        <f>Table1[[#This Row],[2024 People trained in First Aid]]/Table1[[#This Row],[population 2023]]*100</f>
        <v>1.9412933579978482E-2</v>
      </c>
      <c r="J129" s="3">
        <f>SUM(Table1[[#This Row],[2022 People trained in First Aid]],Table1[[#This Row],[2023 People trained in First Aid]],Table1[[#This Row],[2024 People trained in First Aid]])</f>
        <v>6989</v>
      </c>
      <c r="K129" s="3">
        <f>Table1[[#This Row],[sum TRAINED ]]/Table1[[#This Row],[population 2023]]*100</f>
        <v>9.1180774724777966E-2</v>
      </c>
    </row>
    <row r="130" spans="1:11" x14ac:dyDescent="0.35">
      <c r="A130" t="s">
        <v>157</v>
      </c>
      <c r="B130">
        <v>80</v>
      </c>
      <c r="C130">
        <v>195</v>
      </c>
      <c r="D130">
        <v>17</v>
      </c>
      <c r="E130" t="s">
        <v>262</v>
      </c>
      <c r="F130">
        <v>320409</v>
      </c>
      <c r="G130">
        <f>Table1[[#This Row],[2022 People trained in First Aid]]/Table1[[#This Row],[population 2023]]*100</f>
        <v>2.4968087662955784E-2</v>
      </c>
      <c r="H130">
        <f>Table1[[#This Row],[2023 People trained in First Aid]]/Table1[[#This Row],[population 2023]]*100</f>
        <v>6.0859713678454726E-2</v>
      </c>
      <c r="I130">
        <f>Table1[[#This Row],[2024 People trained in First Aid]]/Table1[[#This Row],[population 2023]]*100</f>
        <v>5.305718628378104E-3</v>
      </c>
      <c r="J130" s="3">
        <f>SUM(Table1[[#This Row],[2022 People trained in First Aid]],Table1[[#This Row],[2023 People trained in First Aid]],Table1[[#This Row],[2024 People trained in First Aid]])</f>
        <v>292</v>
      </c>
      <c r="K130" s="3">
        <f>Table1[[#This Row],[sum TRAINED ]]/Table1[[#This Row],[population 2023]]*100</f>
        <v>9.1133519969788621E-2</v>
      </c>
    </row>
    <row r="131" spans="1:11" x14ac:dyDescent="0.35">
      <c r="A131" t="s">
        <v>114</v>
      </c>
      <c r="B131">
        <v>13611</v>
      </c>
      <c r="C131">
        <v>16965</v>
      </c>
      <c r="D131">
        <v>17894</v>
      </c>
      <c r="E131" t="s">
        <v>242</v>
      </c>
      <c r="F131">
        <v>55339003</v>
      </c>
      <c r="G131">
        <f>Table1[[#This Row],[2022 People trained in First Aid]]/Table1[[#This Row],[population 2023]]*100</f>
        <v>2.459567260364268E-2</v>
      </c>
      <c r="H131">
        <f>Table1[[#This Row],[2023 People trained in First Aid]]/Table1[[#This Row],[population 2023]]*100</f>
        <v>3.0656497371302483E-2</v>
      </c>
      <c r="I131">
        <f>Table1[[#This Row],[2024 People trained in First Aid]]/Table1[[#This Row],[population 2023]]*100</f>
        <v>3.2335241023406222E-2</v>
      </c>
      <c r="J131" s="3">
        <f>SUM(Table1[[#This Row],[2022 People trained in First Aid]],Table1[[#This Row],[2023 People trained in First Aid]],Table1[[#This Row],[2024 People trained in First Aid]])</f>
        <v>48470</v>
      </c>
      <c r="K131" s="3">
        <f>Table1[[#This Row],[sum TRAINED ]]/Table1[[#This Row],[population 2023]]*100</f>
        <v>8.7587410998351378E-2</v>
      </c>
    </row>
    <row r="132" spans="1:11" x14ac:dyDescent="0.35">
      <c r="A132" t="s">
        <v>138</v>
      </c>
      <c r="B132">
        <v>1257</v>
      </c>
      <c r="C132">
        <v>1659</v>
      </c>
      <c r="D132">
        <v>30</v>
      </c>
      <c r="E132" t="s">
        <v>356</v>
      </c>
      <c r="F132">
        <v>3388081</v>
      </c>
      <c r="G132">
        <f>Table1[[#This Row],[2022 People trained in First Aid]]/Table1[[#This Row],[population 2023]]*100</f>
        <v>3.7100647829848225E-2</v>
      </c>
      <c r="H132">
        <f>Table1[[#This Row],[2023 People trained in First Aid]]/Table1[[#This Row],[population 2023]]*100</f>
        <v>4.8965771479489419E-2</v>
      </c>
      <c r="I132">
        <f>Table1[[#This Row],[2024 People trained in First Aid]]/Table1[[#This Row],[population 2023]]*100</f>
        <v>8.854569887791939E-4</v>
      </c>
      <c r="J132" s="3">
        <f>SUM(Table1[[#This Row],[2022 People trained in First Aid]],Table1[[#This Row],[2023 People trained in First Aid]],Table1[[#This Row],[2024 People trained in First Aid]])</f>
        <v>2946</v>
      </c>
      <c r="K132" s="3">
        <f>Table1[[#This Row],[sum TRAINED ]]/Table1[[#This Row],[population 2023]]*100</f>
        <v>8.6951876298116834E-2</v>
      </c>
    </row>
    <row r="133" spans="1:11" x14ac:dyDescent="0.35">
      <c r="A133" t="s">
        <v>4</v>
      </c>
      <c r="B133">
        <v>6234</v>
      </c>
      <c r="C133">
        <v>7196</v>
      </c>
      <c r="D133">
        <v>16925</v>
      </c>
      <c r="E133" t="s">
        <v>279</v>
      </c>
      <c r="F133" s="2">
        <v>35126298</v>
      </c>
      <c r="G133">
        <f>Table1[[#This Row],[2022 People trained in First Aid]]/Table1[[#This Row],[population 2023]]*100</f>
        <v>1.7747386872365541E-2</v>
      </c>
      <c r="H133">
        <f>Table1[[#This Row],[2023 People trained in First Aid]]/Table1[[#This Row],[population 2023]]*100</f>
        <v>2.0486075703166899E-2</v>
      </c>
      <c r="I133">
        <f>Table1[[#This Row],[2024 People trained in First Aid]]/Table1[[#This Row],[population 2023]]*100</f>
        <v>4.8183272828807633E-2</v>
      </c>
      <c r="J133" s="3">
        <f>SUM(Table1[[#This Row],[2022 People trained in First Aid]],Table1[[#This Row],[2023 People trained in First Aid]],Table1[[#This Row],[2024 People trained in First Aid]])</f>
        <v>30355</v>
      </c>
      <c r="K133" s="3">
        <f>Table1[[#This Row],[sum TRAINED ]]/Table1[[#This Row],[population 2023]]*100</f>
        <v>8.641673540434007E-2</v>
      </c>
    </row>
    <row r="134" spans="1:11" x14ac:dyDescent="0.35">
      <c r="A134" t="s">
        <v>27</v>
      </c>
      <c r="B134">
        <v>4542</v>
      </c>
      <c r="C134">
        <v>6637</v>
      </c>
      <c r="D134">
        <v>4577</v>
      </c>
      <c r="E134" t="s">
        <v>346</v>
      </c>
      <c r="F134">
        <v>18358615</v>
      </c>
      <c r="G134">
        <f>Table1[[#This Row],[2022 People trained in First Aid]]/Table1[[#This Row],[population 2023]]*100</f>
        <v>2.4740428403776646E-2</v>
      </c>
      <c r="H134">
        <f>Table1[[#This Row],[2023 People trained in First Aid]]/Table1[[#This Row],[population 2023]]*100</f>
        <v>3.6151964622603609E-2</v>
      </c>
      <c r="I134">
        <f>Table1[[#This Row],[2024 People trained in First Aid]]/Table1[[#This Row],[population 2023]]*100</f>
        <v>2.4931074593589984E-2</v>
      </c>
      <c r="J134" s="3">
        <f>SUM(Table1[[#This Row],[2022 People trained in First Aid]],Table1[[#This Row],[2023 People trained in First Aid]],Table1[[#This Row],[2024 People trained in First Aid]])</f>
        <v>15756</v>
      </c>
      <c r="K134" s="3">
        <f>Table1[[#This Row],[sum TRAINED ]]/Table1[[#This Row],[population 2023]]*100</f>
        <v>8.5823467619970242E-2</v>
      </c>
    </row>
    <row r="135" spans="1:11" x14ac:dyDescent="0.35">
      <c r="A135" t="s">
        <v>28</v>
      </c>
      <c r="B135">
        <v>2781</v>
      </c>
      <c r="C135">
        <v>2941</v>
      </c>
      <c r="D135">
        <v>4005</v>
      </c>
      <c r="E135" t="s">
        <v>198</v>
      </c>
      <c r="F135">
        <v>11483374</v>
      </c>
      <c r="G135">
        <f>Table1[[#This Row],[2022 People trained in First Aid]]/Table1[[#This Row],[population 2023]]*100</f>
        <v>2.4217621058061856E-2</v>
      </c>
      <c r="H135">
        <f>Table1[[#This Row],[2023 People trained in First Aid]]/Table1[[#This Row],[population 2023]]*100</f>
        <v>2.5610939781287277E-2</v>
      </c>
      <c r="I135">
        <f>Table1[[#This Row],[2024 People trained in First Aid]]/Table1[[#This Row],[population 2023]]*100</f>
        <v>3.4876509290736331E-2</v>
      </c>
      <c r="J135" s="3">
        <f>SUM(Table1[[#This Row],[2022 People trained in First Aid]],Table1[[#This Row],[2023 People trained in First Aid]],Table1[[#This Row],[2024 People trained in First Aid]])</f>
        <v>9727</v>
      </c>
      <c r="K135" s="3">
        <f>Table1[[#This Row],[sum TRAINED ]]/Table1[[#This Row],[population 2023]]*100</f>
        <v>8.4705070130085464E-2</v>
      </c>
    </row>
    <row r="136" spans="1:11" x14ac:dyDescent="0.35">
      <c r="A136" t="s">
        <v>105</v>
      </c>
      <c r="B136">
        <v>2027</v>
      </c>
      <c r="C136">
        <v>2291</v>
      </c>
      <c r="D136">
        <v>2518</v>
      </c>
      <c r="E136" t="s">
        <v>237</v>
      </c>
      <c r="F136">
        <v>8460512</v>
      </c>
      <c r="G136">
        <f>Table1[[#This Row],[2022 People trained in First Aid]]/Table1[[#This Row],[population 2023]]*100</f>
        <v>2.3958360912436503E-2</v>
      </c>
      <c r="H136">
        <f>Table1[[#This Row],[2023 People trained in First Aid]]/Table1[[#This Row],[population 2023]]*100</f>
        <v>2.7078739442719303E-2</v>
      </c>
      <c r="I136">
        <f>Table1[[#This Row],[2024 People trained in First Aid]]/Table1[[#This Row],[population 2023]]*100</f>
        <v>2.9761792194136712E-2</v>
      </c>
      <c r="J136" s="3">
        <f>SUM(Table1[[#This Row],[2022 People trained in First Aid]],Table1[[#This Row],[2023 People trained in First Aid]],Table1[[#This Row],[2024 People trained in First Aid]])</f>
        <v>6836</v>
      </c>
      <c r="K136" s="3">
        <f>Table1[[#This Row],[sum TRAINED ]]/Table1[[#This Row],[population 2023]]*100</f>
        <v>8.0798892549292525E-2</v>
      </c>
    </row>
    <row r="137" spans="1:11" x14ac:dyDescent="0.35">
      <c r="A137" t="s">
        <v>12</v>
      </c>
      <c r="B137">
        <v>32360</v>
      </c>
      <c r="C137">
        <v>57500</v>
      </c>
      <c r="D137">
        <v>40452</v>
      </c>
      <c r="E137" t="s">
        <v>186</v>
      </c>
      <c r="F137">
        <v>171466990</v>
      </c>
      <c r="G137">
        <f>Table1[[#This Row],[2022 People trained in First Aid]]/Table1[[#This Row],[population 2023]]*100</f>
        <v>1.8872437196220684E-2</v>
      </c>
      <c r="H137">
        <f>Table1[[#This Row],[2023 People trained in First Aid]]/Table1[[#This Row],[population 2023]]*100</f>
        <v>3.3534151383890279E-2</v>
      </c>
      <c r="I137">
        <f>Table1[[#This Row],[2024 People trained in First Aid]]/Table1[[#This Row],[population 2023]]*100</f>
        <v>2.3591712900541382E-2</v>
      </c>
      <c r="J137" s="3">
        <f>SUM(Table1[[#This Row],[2022 People trained in First Aid]],Table1[[#This Row],[2023 People trained in First Aid]],Table1[[#This Row],[2024 People trained in First Aid]])</f>
        <v>130312</v>
      </c>
      <c r="K137" s="3">
        <f>Table1[[#This Row],[sum TRAINED ]]/Table1[[#This Row],[population 2023]]*100</f>
        <v>7.5998301480652342E-2</v>
      </c>
    </row>
    <row r="138" spans="1:11" x14ac:dyDescent="0.35">
      <c r="A138" t="s">
        <v>91</v>
      </c>
      <c r="B138">
        <v>834</v>
      </c>
      <c r="C138">
        <v>8646</v>
      </c>
      <c r="D138">
        <v>4060</v>
      </c>
      <c r="E138" t="s">
        <v>231</v>
      </c>
      <c r="F138">
        <v>19319064</v>
      </c>
      <c r="G138">
        <f>Table1[[#This Row],[2022 People trained in First Aid]]/Table1[[#This Row],[population 2023]]*100</f>
        <v>4.316979331917944E-3</v>
      </c>
      <c r="H138">
        <f>Table1[[#This Row],[2023 People trained in First Aid]]/Table1[[#This Row],[population 2023]]*100</f>
        <v>4.4753720987724871E-2</v>
      </c>
      <c r="I138">
        <f>Table1[[#This Row],[2024 People trained in First Aid]]/Table1[[#This Row],[population 2023]]*100</f>
        <v>2.1015510896387115E-2</v>
      </c>
      <c r="J138" s="3">
        <f>SUM(Table1[[#This Row],[2022 People trained in First Aid]],Table1[[#This Row],[2023 People trained in First Aid]],Table1[[#This Row],[2024 People trained in First Aid]])</f>
        <v>13540</v>
      </c>
      <c r="K138" s="3">
        <f>Table1[[#This Row],[sum TRAINED ]]/Table1[[#This Row],[population 2023]]*100</f>
        <v>7.0086211216029926E-2</v>
      </c>
    </row>
    <row r="139" spans="1:11" x14ac:dyDescent="0.35">
      <c r="A139" t="s">
        <v>107</v>
      </c>
      <c r="B139">
        <v>4955</v>
      </c>
      <c r="C139">
        <v>4341</v>
      </c>
      <c r="D139">
        <v>9973</v>
      </c>
      <c r="E139" t="s">
        <v>239</v>
      </c>
      <c r="F139">
        <v>28372687</v>
      </c>
      <c r="G139">
        <f>Table1[[#This Row],[2022 People trained in First Aid]]/Table1[[#This Row],[population 2023]]*100</f>
        <v>1.746397864960763E-2</v>
      </c>
      <c r="H139">
        <f>Table1[[#This Row],[2023 People trained in First Aid]]/Table1[[#This Row],[population 2023]]*100</f>
        <v>1.5299925593934758E-2</v>
      </c>
      <c r="I139">
        <f>Table1[[#This Row],[2024 People trained in First Aid]]/Table1[[#This Row],[population 2023]]*100</f>
        <v>3.5150001830986252E-2</v>
      </c>
      <c r="J139" s="3">
        <f>SUM(Table1[[#This Row],[2022 People trained in First Aid]],Table1[[#This Row],[2023 People trained in First Aid]],Table1[[#This Row],[2024 People trained in First Aid]])</f>
        <v>19269</v>
      </c>
      <c r="K139" s="3">
        <f>Table1[[#This Row],[sum TRAINED ]]/Table1[[#This Row],[population 2023]]*100</f>
        <v>6.7913906074528643E-2</v>
      </c>
    </row>
    <row r="140" spans="1:11" x14ac:dyDescent="0.35">
      <c r="A140" t="s">
        <v>77</v>
      </c>
      <c r="B140">
        <v>95</v>
      </c>
      <c r="C140">
        <v>533</v>
      </c>
      <c r="D140">
        <v>6239</v>
      </c>
      <c r="E140" t="s">
        <v>224</v>
      </c>
      <c r="F140">
        <v>10318207</v>
      </c>
      <c r="G140">
        <f>Table1[[#This Row],[2022 People trained in First Aid]]/Table1[[#This Row],[population 2023]]*100</f>
        <v>9.2070259881392186E-4</v>
      </c>
      <c r="H140">
        <f>Table1[[#This Row],[2023 People trained in First Aid]]/Table1[[#This Row],[population 2023]]*100</f>
        <v>5.1656261596612664E-3</v>
      </c>
      <c r="I140">
        <f>Table1[[#This Row],[2024 People trained in First Aid]]/Table1[[#This Row],[population 2023]]*100</f>
        <v>6.0465931726316396E-2</v>
      </c>
      <c r="J140" s="3">
        <f>SUM(Table1[[#This Row],[2022 People trained in First Aid]],Table1[[#This Row],[2023 People trained in First Aid]],Table1[[#This Row],[2024 People trained in First Aid]])</f>
        <v>6867</v>
      </c>
      <c r="K140" s="3">
        <f>Table1[[#This Row],[sum TRAINED ]]/Table1[[#This Row],[population 2023]]*100</f>
        <v>6.6552260484791584E-2</v>
      </c>
    </row>
    <row r="141" spans="1:11" x14ac:dyDescent="0.35">
      <c r="A141" t="s">
        <v>145</v>
      </c>
      <c r="C141">
        <v>938</v>
      </c>
      <c r="D141">
        <v>694</v>
      </c>
      <c r="E141" t="s">
        <v>313</v>
      </c>
      <c r="F141">
        <v>2484789</v>
      </c>
      <c r="G141">
        <f>Table1[[#This Row],[2022 People trained in First Aid]]/Table1[[#This Row],[population 2023]]*100</f>
        <v>0</v>
      </c>
      <c r="H141">
        <f>Table1[[#This Row],[2023 People trained in First Aid]]/Table1[[#This Row],[population 2023]]*100</f>
        <v>3.7749684178415149E-2</v>
      </c>
      <c r="I141">
        <f>Table1[[#This Row],[2024 People trained in First Aid]]/Table1[[#This Row],[population 2023]]*100</f>
        <v>2.792993690812379E-2</v>
      </c>
      <c r="J141" s="3">
        <f>SUM(Table1[[#This Row],[2022 People trained in First Aid]],Table1[[#This Row],[2023 People trained in First Aid]],Table1[[#This Row],[2024 People trained in First Aid]])</f>
        <v>1632</v>
      </c>
      <c r="K141" s="3">
        <f>Table1[[#This Row],[sum TRAINED ]]/Table1[[#This Row],[population 2023]]*100</f>
        <v>6.5679621086538936E-2</v>
      </c>
    </row>
    <row r="142" spans="1:11" x14ac:dyDescent="0.35">
      <c r="A142" t="s">
        <v>141</v>
      </c>
      <c r="B142">
        <v>1404</v>
      </c>
      <c r="C142">
        <v>15443</v>
      </c>
      <c r="D142">
        <v>2002</v>
      </c>
      <c r="E142" t="s">
        <v>254</v>
      </c>
      <c r="F142">
        <v>29694615</v>
      </c>
      <c r="G142">
        <f>Table1[[#This Row],[2022 People trained in First Aid]]/Table1[[#This Row],[population 2023]]*100</f>
        <v>4.7281299993281612E-3</v>
      </c>
      <c r="H142">
        <f>Table1[[#This Row],[2023 People trained in First Aid]]/Table1[[#This Row],[population 2023]]*100</f>
        <v>5.2006062378650131E-2</v>
      </c>
      <c r="I142">
        <f>Table1[[#This Row],[2024 People trained in First Aid]]/Table1[[#This Row],[population 2023]]*100</f>
        <v>6.741963147190156E-3</v>
      </c>
      <c r="J142" s="3">
        <f>SUM(Table1[[#This Row],[2022 People trained in First Aid]],Table1[[#This Row],[2023 People trained in First Aid]],Table1[[#This Row],[2024 People trained in First Aid]])</f>
        <v>18849</v>
      </c>
      <c r="K142" s="3">
        <f>Table1[[#This Row],[sum TRAINED ]]/Table1[[#This Row],[population 2023]]*100</f>
        <v>6.3476155525168457E-2</v>
      </c>
    </row>
    <row r="143" spans="1:11" x14ac:dyDescent="0.35">
      <c r="A143" t="s">
        <v>83</v>
      </c>
      <c r="B143">
        <v>4308</v>
      </c>
      <c r="C143">
        <v>1020</v>
      </c>
      <c r="D143">
        <v>1790</v>
      </c>
      <c r="E143" t="s">
        <v>307</v>
      </c>
      <c r="F143">
        <v>11331266</v>
      </c>
      <c r="G143">
        <f>Table1[[#This Row],[2022 People trained in First Aid]]/Table1[[#This Row],[population 2023]]*100</f>
        <v>3.8018699763998132E-2</v>
      </c>
      <c r="H143">
        <f>Table1[[#This Row],[2023 People trained in First Aid]]/Table1[[#This Row],[population 2023]]*100</f>
        <v>9.0016420054034561E-3</v>
      </c>
      <c r="I143">
        <f>Table1[[#This Row],[2024 People trained in First Aid]]/Table1[[#This Row],[population 2023]]*100</f>
        <v>1.5796999205560967E-2</v>
      </c>
      <c r="J143" s="3">
        <f>SUM(Table1[[#This Row],[2022 People trained in First Aid]],Table1[[#This Row],[2023 People trained in First Aid]],Table1[[#This Row],[2024 People trained in First Aid]])</f>
        <v>7118</v>
      </c>
      <c r="K143" s="3">
        <f>Table1[[#This Row],[sum TRAINED ]]/Table1[[#This Row],[population 2023]]*100</f>
        <v>6.2817340974962554E-2</v>
      </c>
    </row>
    <row r="144" spans="1:11" x14ac:dyDescent="0.35">
      <c r="A144" t="s">
        <v>169</v>
      </c>
      <c r="B144">
        <v>3000</v>
      </c>
      <c r="C144">
        <v>4450</v>
      </c>
      <c r="D144">
        <v>2824</v>
      </c>
      <c r="E144" t="s">
        <v>299</v>
      </c>
      <c r="F144">
        <v>19658835</v>
      </c>
      <c r="G144">
        <f>Table1[[#This Row],[2022 People trained in First Aid]]/Table1[[#This Row],[population 2023]]*100</f>
        <v>1.5260314255651468E-2</v>
      </c>
      <c r="H144">
        <f>Table1[[#This Row],[2023 People trained in First Aid]]/Table1[[#This Row],[population 2023]]*100</f>
        <v>2.2636132812549677E-2</v>
      </c>
      <c r="I144">
        <f>Table1[[#This Row],[2024 People trained in First Aid]]/Table1[[#This Row],[population 2023]]*100</f>
        <v>1.4365042485986582E-2</v>
      </c>
      <c r="J144" s="3">
        <f>SUM(Table1[[#This Row],[2022 People trained in First Aid]],Table1[[#This Row],[2023 People trained in First Aid]],Table1[[#This Row],[2024 People trained in First Aid]])</f>
        <v>10274</v>
      </c>
      <c r="K144" s="3">
        <f>Table1[[#This Row],[sum TRAINED ]]/Table1[[#This Row],[population 2023]]*100</f>
        <v>5.2261489554187725E-2</v>
      </c>
    </row>
    <row r="145" spans="1:11" x14ac:dyDescent="0.35">
      <c r="A145" t="s">
        <v>22</v>
      </c>
      <c r="B145">
        <v>41</v>
      </c>
      <c r="C145">
        <v>205</v>
      </c>
      <c r="D145">
        <v>321</v>
      </c>
      <c r="E145" t="s">
        <v>194</v>
      </c>
      <c r="F145">
        <v>1152944</v>
      </c>
      <c r="G145">
        <f>Table1[[#This Row],[2022 People trained in First Aid]]/Table1[[#This Row],[population 2023]]*100</f>
        <v>3.5561137401296161E-3</v>
      </c>
      <c r="H145">
        <f>Table1[[#This Row],[2023 People trained in First Aid]]/Table1[[#This Row],[population 2023]]*100</f>
        <v>1.7780568700648078E-2</v>
      </c>
      <c r="I145">
        <f>Table1[[#This Row],[2024 People trained in First Aid]]/Table1[[#This Row],[population 2023]]*100</f>
        <v>2.7841768550770897E-2</v>
      </c>
      <c r="J145" s="3">
        <f>SUM(Table1[[#This Row],[2022 People trained in First Aid]],Table1[[#This Row],[2023 People trained in First Aid]],Table1[[#This Row],[2024 People trained in First Aid]])</f>
        <v>567</v>
      </c>
      <c r="K145" s="3">
        <f>Table1[[#This Row],[sum TRAINED ]]/Table1[[#This Row],[population 2023]]*100</f>
        <v>4.9178450991548592E-2</v>
      </c>
    </row>
    <row r="146" spans="1:11" x14ac:dyDescent="0.35">
      <c r="A146" t="s">
        <v>121</v>
      </c>
      <c r="B146">
        <v>562</v>
      </c>
      <c r="C146">
        <v>22</v>
      </c>
      <c r="D146">
        <v>177</v>
      </c>
      <c r="E146" t="s">
        <v>246</v>
      </c>
      <c r="F146">
        <v>1569666</v>
      </c>
      <c r="G146">
        <f>Table1[[#This Row],[2022 People trained in First Aid]]/Table1[[#This Row],[population 2023]]*100</f>
        <v>3.5803795202291447E-2</v>
      </c>
      <c r="H146">
        <f>Table1[[#This Row],[2023 People trained in First Aid]]/Table1[[#This Row],[population 2023]]*100</f>
        <v>1.4015720541822273E-3</v>
      </c>
      <c r="I146">
        <f>Table1[[#This Row],[2024 People trained in First Aid]]/Table1[[#This Row],[population 2023]]*100</f>
        <v>1.1276284254102464E-2</v>
      </c>
      <c r="J146" s="3">
        <f>SUM(Table1[[#This Row],[2022 People trained in First Aid]],Table1[[#This Row],[2023 People trained in First Aid]],Table1[[#This Row],[2024 People trained in First Aid]])</f>
        <v>761</v>
      </c>
      <c r="K146" s="3">
        <f>Table1[[#This Row],[sum TRAINED ]]/Table1[[#This Row],[population 2023]]*100</f>
        <v>4.8481651510576138E-2</v>
      </c>
    </row>
    <row r="147" spans="1:11" x14ac:dyDescent="0.35">
      <c r="A147" t="s">
        <v>100</v>
      </c>
      <c r="B147">
        <v>7772</v>
      </c>
      <c r="C147">
        <v>5832</v>
      </c>
      <c r="D147">
        <v>69</v>
      </c>
      <c r="E147" t="s">
        <v>357</v>
      </c>
      <c r="F147">
        <v>28300854</v>
      </c>
      <c r="G147">
        <f>Table1[[#This Row],[2022 People trained in First Aid]]/Table1[[#This Row],[population 2023]]*100</f>
        <v>2.7462068812481769E-2</v>
      </c>
      <c r="H147">
        <f>Table1[[#This Row],[2023 People trained in First Aid]]/Table1[[#This Row],[population 2023]]*100</f>
        <v>2.0607151996190644E-2</v>
      </c>
      <c r="I147">
        <f>Table1[[#This Row],[2024 People trained in First Aid]]/Table1[[#This Row],[population 2023]]*100</f>
        <v>2.4380889707427205E-4</v>
      </c>
      <c r="J147" s="3">
        <f>SUM(Table1[[#This Row],[2022 People trained in First Aid]],Table1[[#This Row],[2023 People trained in First Aid]],Table1[[#This Row],[2024 People trained in First Aid]])</f>
        <v>13673</v>
      </c>
      <c r="K147" s="3">
        <f>Table1[[#This Row],[sum TRAINED ]]/Table1[[#This Row],[population 2023]]*100</f>
        <v>4.8313029705746691E-2</v>
      </c>
    </row>
    <row r="148" spans="1:11" x14ac:dyDescent="0.35">
      <c r="A148" t="s">
        <v>23</v>
      </c>
      <c r="B148">
        <v>1172</v>
      </c>
      <c r="C148">
        <v>500</v>
      </c>
      <c r="D148">
        <v>2431</v>
      </c>
      <c r="E148" t="s">
        <v>355</v>
      </c>
      <c r="F148">
        <v>9304338</v>
      </c>
      <c r="G148">
        <f>Table1[[#This Row],[2022 People trained in First Aid]]/Table1[[#This Row],[population 2023]]*100</f>
        <v>1.2596274984851151E-2</v>
      </c>
      <c r="H148">
        <f>Table1[[#This Row],[2023 People trained in First Aid]]/Table1[[#This Row],[population 2023]]*100</f>
        <v>5.3738374508750649E-3</v>
      </c>
      <c r="I148">
        <f>Table1[[#This Row],[2024 People trained in First Aid]]/Table1[[#This Row],[population 2023]]*100</f>
        <v>2.6127597686154563E-2</v>
      </c>
      <c r="J148" s="3">
        <f>SUM(Table1[[#This Row],[2022 People trained in First Aid]],Table1[[#This Row],[2023 People trained in First Aid]],Table1[[#This Row],[2024 People trained in First Aid]])</f>
        <v>4103</v>
      </c>
      <c r="K148" s="3">
        <f>Table1[[#This Row],[sum TRAINED ]]/Table1[[#This Row],[population 2023]]*100</f>
        <v>4.4097710121880782E-2</v>
      </c>
    </row>
    <row r="149" spans="1:11" x14ac:dyDescent="0.35">
      <c r="A149" t="s">
        <v>164</v>
      </c>
      <c r="B149">
        <v>2521</v>
      </c>
      <c r="C149">
        <v>3645</v>
      </c>
      <c r="D149">
        <v>4208</v>
      </c>
      <c r="E149" t="s">
        <v>349</v>
      </c>
      <c r="F149">
        <v>23594623</v>
      </c>
      <c r="G149">
        <f>Table1[[#This Row],[2022 People trained in First Aid]]/Table1[[#This Row],[population 2023]]*100</f>
        <v>1.0684637766833571E-2</v>
      </c>
      <c r="H149">
        <f>Table1[[#This Row],[2023 People trained in First Aid]]/Table1[[#This Row],[population 2023]]*100</f>
        <v>1.5448435009959684E-2</v>
      </c>
      <c r="I149">
        <f>Table1[[#This Row],[2024 People trained in First Aid]]/Table1[[#This Row],[population 2023]]*100</f>
        <v>1.7834571885297766E-2</v>
      </c>
      <c r="J149" s="3">
        <f>SUM(Table1[[#This Row],[2022 People trained in First Aid]],Table1[[#This Row],[2023 People trained in First Aid]],Table1[[#This Row],[2024 People trained in First Aid]])</f>
        <v>10374</v>
      </c>
      <c r="K149" s="3">
        <f>Table1[[#This Row],[sum TRAINED ]]/Table1[[#This Row],[population 2023]]*100</f>
        <v>4.3967644662091021E-2</v>
      </c>
    </row>
    <row r="150" spans="1:11" x14ac:dyDescent="0.35">
      <c r="A150" t="s">
        <v>151</v>
      </c>
      <c r="B150">
        <v>11787</v>
      </c>
      <c r="C150">
        <v>12350</v>
      </c>
      <c r="D150">
        <v>25511</v>
      </c>
      <c r="E150" t="s">
        <v>309</v>
      </c>
      <c r="F150">
        <v>114535772</v>
      </c>
      <c r="G150">
        <f>Table1[[#This Row],[2022 People trained in First Aid]]/Table1[[#This Row],[population 2023]]*100</f>
        <v>1.0291108004231202E-2</v>
      </c>
      <c r="H150">
        <f>Table1[[#This Row],[2023 People trained in First Aid]]/Table1[[#This Row],[population 2023]]*100</f>
        <v>1.0782657491495321E-2</v>
      </c>
      <c r="I150">
        <f>Table1[[#This Row],[2024 People trained in First Aid]]/Table1[[#This Row],[population 2023]]*100</f>
        <v>2.2273390709760092E-2</v>
      </c>
      <c r="J150" s="3">
        <f>SUM(Table1[[#This Row],[2022 People trained in First Aid]],Table1[[#This Row],[2023 People trained in First Aid]],Table1[[#This Row],[2024 People trained in First Aid]])</f>
        <v>49648</v>
      </c>
      <c r="K150" s="3">
        <f>Table1[[#This Row],[sum TRAINED ]]/Table1[[#This Row],[population 2023]]*100</f>
        <v>4.3347156205486612E-2</v>
      </c>
    </row>
    <row r="151" spans="1:11" x14ac:dyDescent="0.35">
      <c r="A151" t="s">
        <v>152</v>
      </c>
      <c r="B151">
        <v>3485</v>
      </c>
      <c r="C151">
        <v>2565</v>
      </c>
      <c r="D151">
        <v>8500</v>
      </c>
      <c r="E151" t="s">
        <v>259</v>
      </c>
      <c r="F151">
        <v>33787914</v>
      </c>
      <c r="G151">
        <f>Table1[[#This Row],[2022 People trained in First Aid]]/Table1[[#This Row],[population 2023]]*100</f>
        <v>1.0314339026670897E-2</v>
      </c>
      <c r="H151">
        <f>Table1[[#This Row],[2023 People trained in First Aid]]/Table1[[#This Row],[population 2023]]*100</f>
        <v>7.5914719091566283E-3</v>
      </c>
      <c r="I151">
        <f>Table1[[#This Row],[2024 People trained in First Aid]]/Table1[[#This Row],[population 2023]]*100</f>
        <v>2.5156924455294875E-2</v>
      </c>
      <c r="J151" s="3">
        <f>SUM(Table1[[#This Row],[2022 People trained in First Aid]],Table1[[#This Row],[2023 People trained in First Aid]],Table1[[#This Row],[2024 People trained in First Aid]])</f>
        <v>14550</v>
      </c>
      <c r="K151" s="3">
        <f>Table1[[#This Row],[sum TRAINED ]]/Table1[[#This Row],[population 2023]]*100</f>
        <v>4.3062735391122403E-2</v>
      </c>
    </row>
    <row r="152" spans="1:11" x14ac:dyDescent="0.35">
      <c r="A152" t="s">
        <v>158</v>
      </c>
      <c r="B152">
        <v>95</v>
      </c>
      <c r="C152">
        <v>546</v>
      </c>
      <c r="D152">
        <v>1448</v>
      </c>
      <c r="E152" t="s">
        <v>329</v>
      </c>
      <c r="F152">
        <v>5022442</v>
      </c>
      <c r="G152">
        <f>Table1[[#This Row],[2022 People trained in First Aid]]/Table1[[#This Row],[population 2023]]*100</f>
        <v>1.891510145861316E-3</v>
      </c>
      <c r="H152">
        <f>Table1[[#This Row],[2023 People trained in First Aid]]/Table1[[#This Row],[population 2023]]*100</f>
        <v>1.0871205680423985E-2</v>
      </c>
      <c r="I152">
        <f>Table1[[#This Row],[2024 People trained in First Aid]]/Table1[[#This Row],[population 2023]]*100</f>
        <v>2.8830596749549322E-2</v>
      </c>
      <c r="J152" s="3">
        <f>SUM(Table1[[#This Row],[2022 People trained in First Aid]],Table1[[#This Row],[2023 People trained in First Aid]],Table1[[#This Row],[2024 People trained in First Aid]])</f>
        <v>2089</v>
      </c>
      <c r="K152" s="3">
        <f>Table1[[#This Row],[sum TRAINED ]]/Table1[[#This Row],[population 2023]]*100</f>
        <v>4.1593312575834623E-2</v>
      </c>
    </row>
    <row r="153" spans="1:11" x14ac:dyDescent="0.35">
      <c r="A153" t="s">
        <v>178</v>
      </c>
      <c r="B153">
        <v>1435</v>
      </c>
      <c r="C153">
        <v>1428</v>
      </c>
      <c r="D153">
        <v>1398</v>
      </c>
      <c r="E153" t="s">
        <v>274</v>
      </c>
      <c r="F153">
        <v>10389635</v>
      </c>
      <c r="G153">
        <f>Table1[[#This Row],[2022 People trained in First Aid]]/Table1[[#This Row],[population 2023]]*100</f>
        <v>1.3811842283198591E-2</v>
      </c>
      <c r="H153">
        <f>Table1[[#This Row],[2023 People trained in First Aid]]/Table1[[#This Row],[population 2023]]*100</f>
        <v>1.3744467442792745E-2</v>
      </c>
      <c r="I153">
        <f>Table1[[#This Row],[2024 People trained in First Aid]]/Table1[[#This Row],[population 2023]]*100</f>
        <v>1.3455718126767685E-2</v>
      </c>
      <c r="J153" s="3">
        <f>SUM(Table1[[#This Row],[2022 People trained in First Aid]],Table1[[#This Row],[2023 People trained in First Aid]],Table1[[#This Row],[2024 People trained in First Aid]])</f>
        <v>4261</v>
      </c>
      <c r="K153" s="3">
        <f>Table1[[#This Row],[sum TRAINED ]]/Table1[[#This Row],[population 2023]]*100</f>
        <v>4.1012027852759023E-2</v>
      </c>
    </row>
    <row r="154" spans="1:11" x14ac:dyDescent="0.35">
      <c r="A154" t="s">
        <v>179</v>
      </c>
      <c r="B154">
        <v>2352</v>
      </c>
      <c r="C154">
        <v>3786</v>
      </c>
      <c r="D154">
        <v>2211</v>
      </c>
      <c r="E154" t="s">
        <v>275</v>
      </c>
      <c r="F154">
        <v>20723965</v>
      </c>
      <c r="G154">
        <f>Table1[[#This Row],[2022 People trained in First Aid]]/Table1[[#This Row],[population 2023]]*100</f>
        <v>1.1349179560957568E-2</v>
      </c>
      <c r="H154">
        <f>Table1[[#This Row],[2023 People trained in First Aid]]/Table1[[#This Row],[population 2023]]*100</f>
        <v>1.8268704854500575E-2</v>
      </c>
      <c r="I154">
        <f>Table1[[#This Row],[2024 People trained in First Aid]]/Table1[[#This Row],[population 2023]]*100</f>
        <v>1.0668807827073632E-2</v>
      </c>
      <c r="J154" s="3">
        <f>SUM(Table1[[#This Row],[2022 People trained in First Aid]],Table1[[#This Row],[2023 People trained in First Aid]],Table1[[#This Row],[2024 People trained in First Aid]])</f>
        <v>8349</v>
      </c>
      <c r="K154" s="3">
        <f>Table1[[#This Row],[sum TRAINED ]]/Table1[[#This Row],[population 2023]]*100</f>
        <v>4.0286692242531778E-2</v>
      </c>
    </row>
    <row r="155" spans="1:11" x14ac:dyDescent="0.35">
      <c r="A155" t="s">
        <v>76</v>
      </c>
      <c r="B155">
        <v>13130</v>
      </c>
      <c r="C155">
        <v>6699</v>
      </c>
      <c r="D155">
        <v>4595</v>
      </c>
      <c r="E155" t="s">
        <v>360</v>
      </c>
      <c r="F155">
        <v>63212384</v>
      </c>
      <c r="G155">
        <f>Table1[[#This Row],[2022 People trained in First Aid]]/Table1[[#This Row],[population 2023]]*100</f>
        <v>2.0771246343121625E-2</v>
      </c>
      <c r="H155">
        <f>Table1[[#This Row],[2023 People trained in First Aid]]/Table1[[#This Row],[population 2023]]*100</f>
        <v>1.0597606949929306E-2</v>
      </c>
      <c r="I155">
        <f>Table1[[#This Row],[2024 People trained in First Aid]]/Table1[[#This Row],[population 2023]]*100</f>
        <v>7.2691452358449255E-3</v>
      </c>
      <c r="J155" s="3">
        <f>SUM(Table1[[#This Row],[2022 People trained in First Aid]],Table1[[#This Row],[2023 People trained in First Aid]],Table1[[#This Row],[2024 People trained in First Aid]])</f>
        <v>24424</v>
      </c>
      <c r="K155" s="3">
        <f>Table1[[#This Row],[sum TRAINED ]]/Table1[[#This Row],[population 2023]]*100</f>
        <v>3.8637998528895857E-2</v>
      </c>
    </row>
    <row r="156" spans="1:11" x14ac:dyDescent="0.35">
      <c r="A156" t="s">
        <v>29</v>
      </c>
      <c r="B156">
        <v>2047</v>
      </c>
      <c r="C156">
        <v>2178</v>
      </c>
      <c r="D156">
        <v>3631</v>
      </c>
      <c r="E156" t="s">
        <v>296</v>
      </c>
      <c r="F156">
        <v>23025776</v>
      </c>
      <c r="G156">
        <f>Table1[[#This Row],[2022 People trained in First Aid]]/Table1[[#This Row],[population 2023]]*100</f>
        <v>8.8900369742153304E-3</v>
      </c>
      <c r="H156">
        <f>Table1[[#This Row],[2023 People trained in First Aid]]/Table1[[#This Row],[population 2023]]*100</f>
        <v>9.4589645968934984E-3</v>
      </c>
      <c r="I156">
        <f>Table1[[#This Row],[2024 People trained in First Aid]]/Table1[[#This Row],[population 2023]]*100</f>
        <v>1.5769283953774242E-2</v>
      </c>
      <c r="J156" s="3">
        <f>SUM(Table1[[#This Row],[2022 People trained in First Aid]],Table1[[#This Row],[2023 People trained in First Aid]],Table1[[#This Row],[2024 People trained in First Aid]])</f>
        <v>7856</v>
      </c>
      <c r="K156" s="3">
        <f>Table1[[#This Row],[sum TRAINED ]]/Table1[[#This Row],[population 2023]]*100</f>
        <v>3.4118285524883073E-2</v>
      </c>
    </row>
    <row r="157" spans="1:11" x14ac:dyDescent="0.35">
      <c r="A157" t="s">
        <v>177</v>
      </c>
      <c r="C157">
        <v>900</v>
      </c>
      <c r="D157">
        <v>1165</v>
      </c>
      <c r="E157" t="s">
        <v>301</v>
      </c>
      <c r="F157">
        <v>6182885</v>
      </c>
      <c r="G157">
        <f>Table1[[#This Row],[2022 People trained in First Aid]]/Table1[[#This Row],[population 2023]]*100</f>
        <v>0</v>
      </c>
      <c r="H157">
        <f>Table1[[#This Row],[2023 People trained in First Aid]]/Table1[[#This Row],[population 2023]]*100</f>
        <v>1.4556311495361794E-2</v>
      </c>
      <c r="I157">
        <f>Table1[[#This Row],[2024 People trained in First Aid]]/Table1[[#This Row],[population 2023]]*100</f>
        <v>1.8842336546773877E-2</v>
      </c>
      <c r="J157" s="3">
        <f>SUM(Table1[[#This Row],[2022 People trained in First Aid]],Table1[[#This Row],[2023 People trained in First Aid]],Table1[[#This Row],[2024 People trained in First Aid]])</f>
        <v>2065</v>
      </c>
      <c r="K157" s="3">
        <f>Table1[[#This Row],[sum TRAINED ]]/Table1[[#This Row],[population 2023]]*100</f>
        <v>3.3398648042135673E-2</v>
      </c>
    </row>
    <row r="158" spans="1:11" x14ac:dyDescent="0.35">
      <c r="A158" t="s">
        <v>24</v>
      </c>
      <c r="B158">
        <v>1848</v>
      </c>
      <c r="C158">
        <v>1882</v>
      </c>
      <c r="D158">
        <v>958</v>
      </c>
      <c r="E158" t="s">
        <v>195</v>
      </c>
      <c r="F158">
        <v>14111035</v>
      </c>
      <c r="G158">
        <f>Table1[[#This Row],[2022 People trained in First Aid]]/Table1[[#This Row],[population 2023]]*100</f>
        <v>1.3096133628752248E-2</v>
      </c>
      <c r="H158">
        <f>Table1[[#This Row],[2023 People trained in First Aid]]/Table1[[#This Row],[population 2023]]*100</f>
        <v>1.3337079810233623E-2</v>
      </c>
      <c r="I158">
        <f>Table1[[#This Row],[2024 People trained in First Aid]]/Table1[[#This Row],[population 2023]]*100</f>
        <v>6.7890129958574977E-3</v>
      </c>
      <c r="J158" s="3">
        <f>SUM(Table1[[#This Row],[2022 People trained in First Aid]],Table1[[#This Row],[2023 People trained in First Aid]],Table1[[#This Row],[2024 People trained in First Aid]])</f>
        <v>4688</v>
      </c>
      <c r="K158" s="3">
        <f>Table1[[#This Row],[sum TRAINED ]]/Table1[[#This Row],[population 2023]]*100</f>
        <v>3.322222643484337E-2</v>
      </c>
    </row>
    <row r="159" spans="1:11" x14ac:dyDescent="0.35">
      <c r="A159" t="s">
        <v>163</v>
      </c>
      <c r="B159">
        <v>6675</v>
      </c>
      <c r="C159">
        <v>2942</v>
      </c>
      <c r="D159">
        <v>5010</v>
      </c>
      <c r="E159" t="s">
        <v>287</v>
      </c>
      <c r="F159">
        <v>46164219</v>
      </c>
      <c r="G159">
        <f>Table1[[#This Row],[2022 People trained in First Aid]]/Table1[[#This Row],[population 2023]]*100</f>
        <v>1.4459250355778792E-2</v>
      </c>
      <c r="H159">
        <f>Table1[[#This Row],[2023 People trained in First Aid]]/Table1[[#This Row],[population 2023]]*100</f>
        <v>6.3729010556855736E-3</v>
      </c>
      <c r="I159">
        <f>Table1[[#This Row],[2024 People trained in First Aid]]/Table1[[#This Row],[population 2023]]*100</f>
        <v>1.0852560941191271E-2</v>
      </c>
      <c r="J159" s="3">
        <f>SUM(Table1[[#This Row],[2022 People trained in First Aid]],Table1[[#This Row],[2023 People trained in First Aid]],Table1[[#This Row],[2024 People trained in First Aid]])</f>
        <v>14627</v>
      </c>
      <c r="K159" s="3">
        <f>Table1[[#This Row],[sum TRAINED ]]/Table1[[#This Row],[population 2023]]*100</f>
        <v>3.1684712352655638E-2</v>
      </c>
    </row>
    <row r="160" spans="1:11" x14ac:dyDescent="0.35">
      <c r="A160" t="s">
        <v>21</v>
      </c>
      <c r="B160">
        <v>558</v>
      </c>
      <c r="C160">
        <v>630</v>
      </c>
      <c r="D160">
        <v>527</v>
      </c>
      <c r="E160" t="s">
        <v>285</v>
      </c>
      <c r="F160">
        <v>5493031</v>
      </c>
      <c r="G160">
        <f>Table1[[#This Row],[2022 People trained in First Aid]]/Table1[[#This Row],[population 2023]]*100</f>
        <v>1.0158326068066974E-2</v>
      </c>
      <c r="H160">
        <f>Table1[[#This Row],[2023 People trained in First Aid]]/Table1[[#This Row],[population 2023]]*100</f>
        <v>1.1469077818785292E-2</v>
      </c>
      <c r="I160">
        <f>Table1[[#This Row],[2024 People trained in First Aid]]/Table1[[#This Row],[population 2023]]*100</f>
        <v>9.5939746198410308E-3</v>
      </c>
      <c r="J160" s="3">
        <f>SUM(Table1[[#This Row],[2022 People trained in First Aid]],Table1[[#This Row],[2023 People trained in First Aid]],Table1[[#This Row],[2024 People trained in First Aid]])</f>
        <v>1715</v>
      </c>
      <c r="K160" s="3">
        <f>Table1[[#This Row],[sum TRAINED ]]/Table1[[#This Row],[population 2023]]*100</f>
        <v>3.1221378506693299E-2</v>
      </c>
    </row>
    <row r="161" spans="1:11" x14ac:dyDescent="0.35">
      <c r="A161" t="s">
        <v>51</v>
      </c>
      <c r="B161">
        <v>130</v>
      </c>
      <c r="C161">
        <v>2248</v>
      </c>
      <c r="D161">
        <v>1374</v>
      </c>
      <c r="E161" t="s">
        <v>293</v>
      </c>
      <c r="F161">
        <v>12244160</v>
      </c>
      <c r="G161">
        <f>Table1[[#This Row],[2022 People trained in First Aid]]/Table1[[#This Row],[population 2023]]*100</f>
        <v>1.0617306536340591E-3</v>
      </c>
      <c r="H161">
        <f>Table1[[#This Row],[2023 People trained in First Aid]]/Table1[[#This Row],[population 2023]]*100</f>
        <v>1.8359773148995114E-2</v>
      </c>
      <c r="I161">
        <f>Table1[[#This Row],[2024 People trained in First Aid]]/Table1[[#This Row],[population 2023]]*100</f>
        <v>1.1221676293024592E-2</v>
      </c>
      <c r="J161" s="3">
        <f>SUM(Table1[[#This Row],[2022 People trained in First Aid]],Table1[[#This Row],[2023 People trained in First Aid]],Table1[[#This Row],[2024 People trained in First Aid]])</f>
        <v>3752</v>
      </c>
      <c r="K161" s="3">
        <f>Table1[[#This Row],[sum TRAINED ]]/Table1[[#This Row],[population 2023]]*100</f>
        <v>3.0643180095653765E-2</v>
      </c>
    </row>
    <row r="162" spans="1:11" x14ac:dyDescent="0.35">
      <c r="A162" t="s">
        <v>165</v>
      </c>
      <c r="B162">
        <v>154</v>
      </c>
      <c r="C162">
        <v>10360</v>
      </c>
      <c r="D162">
        <v>2700</v>
      </c>
      <c r="E162" t="s">
        <v>265</v>
      </c>
      <c r="F162">
        <v>48656602</v>
      </c>
      <c r="G162">
        <f>Table1[[#This Row],[2022 People trained in First Aid]]/Table1[[#This Row],[population 2023]]*100</f>
        <v>3.1650381175405551E-4</v>
      </c>
      <c r="H162">
        <f>Table1[[#This Row],[2023 People trained in First Aid]]/Table1[[#This Row],[population 2023]]*100</f>
        <v>2.1292074608909188E-2</v>
      </c>
      <c r="I162">
        <f>Table1[[#This Row],[2024 People trained in First Aid]]/Table1[[#This Row],[population 2023]]*100</f>
        <v>5.5490928034801941E-3</v>
      </c>
      <c r="J162" s="3">
        <f>SUM(Table1[[#This Row],[2022 People trained in First Aid]],Table1[[#This Row],[2023 People trained in First Aid]],Table1[[#This Row],[2024 People trained in First Aid]])</f>
        <v>13214</v>
      </c>
      <c r="K162" s="3">
        <f>Table1[[#This Row],[sum TRAINED ]]/Table1[[#This Row],[population 2023]]*100</f>
        <v>2.7157671224143438E-2</v>
      </c>
    </row>
    <row r="163" spans="1:11" x14ac:dyDescent="0.35">
      <c r="A163" t="s">
        <v>137</v>
      </c>
      <c r="B163">
        <v>251480</v>
      </c>
      <c r="C163">
        <v>480</v>
      </c>
      <c r="D163">
        <v>108838</v>
      </c>
      <c r="E163" t="s">
        <v>318</v>
      </c>
      <c r="F163">
        <v>1438069596</v>
      </c>
      <c r="G163">
        <f>Table1[[#This Row],[2022 People trained in First Aid]]/Table1[[#This Row],[population 2023]]*100</f>
        <v>1.7487331677096384E-2</v>
      </c>
      <c r="H163">
        <f>Table1[[#This Row],[2023 People trained in First Aid]]/Table1[[#This Row],[population 2023]]*100</f>
        <v>3.3378078594744175E-5</v>
      </c>
      <c r="I163">
        <f>Table1[[#This Row],[2024 People trained in First Aid]]/Table1[[#This Row],[population 2023]]*100</f>
        <v>7.5683402460307633E-3</v>
      </c>
      <c r="J163" s="3">
        <f>SUM(Table1[[#This Row],[2022 People trained in First Aid]],Table1[[#This Row],[2023 People trained in First Aid]],Table1[[#This Row],[2024 People trained in First Aid]])</f>
        <v>360798</v>
      </c>
      <c r="K163" s="3">
        <f>Table1[[#This Row],[sum TRAINED ]]/Table1[[#This Row],[population 2023]]*100</f>
        <v>2.5089050001721892E-2</v>
      </c>
    </row>
    <row r="164" spans="1:11" x14ac:dyDescent="0.35">
      <c r="A164" t="s">
        <v>47</v>
      </c>
      <c r="B164">
        <v>2305</v>
      </c>
      <c r="C164">
        <v>2905</v>
      </c>
      <c r="D164">
        <v>2196</v>
      </c>
      <c r="E164" t="s">
        <v>208</v>
      </c>
      <c r="F164">
        <v>31165654</v>
      </c>
      <c r="G164">
        <f>Table1[[#This Row],[2022 People trained in First Aid]]/Table1[[#This Row],[population 2023]]*100</f>
        <v>7.395962234580414E-3</v>
      </c>
      <c r="H164">
        <f>Table1[[#This Row],[2023 People trained in First Aid]]/Table1[[#This Row],[population 2023]]*100</f>
        <v>9.3211584778551421E-3</v>
      </c>
      <c r="I164">
        <f>Table1[[#This Row],[2024 People trained in First Aid]]/Table1[[#This Row],[population 2023]]*100</f>
        <v>7.0462182503855048E-3</v>
      </c>
      <c r="J164" s="3">
        <f>SUM(Table1[[#This Row],[2022 People trained in First Aid]],Table1[[#This Row],[2023 People trained in First Aid]],Table1[[#This Row],[2024 People trained in First Aid]])</f>
        <v>7406</v>
      </c>
      <c r="K164" s="3">
        <f>Table1[[#This Row],[sum TRAINED ]]/Table1[[#This Row],[population 2023]]*100</f>
        <v>2.3763338962821057E-2</v>
      </c>
    </row>
    <row r="165" spans="1:11" x14ac:dyDescent="0.35">
      <c r="A165" t="s">
        <v>181</v>
      </c>
      <c r="B165">
        <v>256</v>
      </c>
      <c r="C165">
        <v>410</v>
      </c>
      <c r="E165" t="s">
        <v>277</v>
      </c>
      <c r="F165">
        <v>2963095</v>
      </c>
      <c r="G165">
        <f>Table1[[#This Row],[2022 People trained in First Aid]]/Table1[[#This Row],[population 2023]]*100</f>
        <v>8.6396149971566891E-3</v>
      </c>
      <c r="H165">
        <f>Table1[[#This Row],[2023 People trained in First Aid]]/Table1[[#This Row],[population 2023]]*100</f>
        <v>1.383688339388376E-2</v>
      </c>
      <c r="I165">
        <f>Table1[[#This Row],[2024 People trained in First Aid]]/Table1[[#This Row],[population 2023]]*100</f>
        <v>0</v>
      </c>
      <c r="J165" s="3">
        <f>SUM(Table1[[#This Row],[2022 People trained in First Aid]],Table1[[#This Row],[2023 People trained in First Aid]],Table1[[#This Row],[2024 People trained in First Aid]])</f>
        <v>666</v>
      </c>
      <c r="K165" s="3">
        <f>Table1[[#This Row],[sum TRAINED ]]/Table1[[#This Row],[population 2023]]*100</f>
        <v>2.2476498391040451E-2</v>
      </c>
    </row>
    <row r="166" spans="1:11" x14ac:dyDescent="0.35">
      <c r="A166" t="s">
        <v>5</v>
      </c>
      <c r="B166">
        <v>2162</v>
      </c>
      <c r="C166">
        <v>2612</v>
      </c>
      <c r="D166">
        <v>2021</v>
      </c>
      <c r="E166" t="s">
        <v>280</v>
      </c>
      <c r="F166">
        <v>31195933</v>
      </c>
      <c r="G166">
        <f>Table1[[#This Row],[2022 People trained in First Aid]]/Table1[[#This Row],[population 2023]]*100</f>
        <v>6.9303905736686888E-3</v>
      </c>
      <c r="H166">
        <f>Table1[[#This Row],[2023 People trained in First Aid]]/Table1[[#This Row],[population 2023]]*100</f>
        <v>8.3728862989928855E-3</v>
      </c>
      <c r="I166">
        <f>Table1[[#This Row],[2024 People trained in First Aid]]/Table1[[#This Row],[population 2023]]*100</f>
        <v>6.4784085797337746E-3</v>
      </c>
      <c r="J166" s="3">
        <f>SUM(Table1[[#This Row],[2022 People trained in First Aid]],Table1[[#This Row],[2023 People trained in First Aid]],Table1[[#This Row],[2024 People trained in First Aid]])</f>
        <v>6795</v>
      </c>
      <c r="K166" s="3">
        <f>Table1[[#This Row],[sum TRAINED ]]/Table1[[#This Row],[population 2023]]*100</f>
        <v>2.1781685452395349E-2</v>
      </c>
    </row>
    <row r="167" spans="1:11" x14ac:dyDescent="0.35">
      <c r="A167" t="s">
        <v>150</v>
      </c>
      <c r="B167">
        <v>32006</v>
      </c>
      <c r="C167">
        <v>10200</v>
      </c>
      <c r="D167">
        <v>6956</v>
      </c>
      <c r="E167" t="s">
        <v>258</v>
      </c>
      <c r="F167">
        <v>247504496</v>
      </c>
      <c r="G167">
        <f>Table1[[#This Row],[2022 People trained in First Aid]]/Table1[[#This Row],[population 2023]]*100</f>
        <v>1.29314822628515E-2</v>
      </c>
      <c r="H167">
        <f>Table1[[#This Row],[2023 People trained in First Aid]]/Table1[[#This Row],[population 2023]]*100</f>
        <v>4.1211372580480321E-3</v>
      </c>
      <c r="I167">
        <f>Table1[[#This Row],[2024 People trained in First Aid]]/Table1[[#This Row],[population 2023]]*100</f>
        <v>2.8104539967629518E-3</v>
      </c>
      <c r="J167" s="3">
        <f>SUM(Table1[[#This Row],[2022 People trained in First Aid]],Table1[[#This Row],[2023 People trained in First Aid]],Table1[[#This Row],[2024 People trained in First Aid]])</f>
        <v>49162</v>
      </c>
      <c r="K167" s="3">
        <f>Table1[[#This Row],[sum TRAINED ]]/Table1[[#This Row],[population 2023]]*100</f>
        <v>1.9863073517662484E-2</v>
      </c>
    </row>
    <row r="168" spans="1:11" x14ac:dyDescent="0.35">
      <c r="A168" t="s">
        <v>68</v>
      </c>
      <c r="B168">
        <v>592</v>
      </c>
      <c r="C168">
        <v>737</v>
      </c>
      <c r="D168">
        <v>2173</v>
      </c>
      <c r="E168" t="s">
        <v>314</v>
      </c>
      <c r="F168">
        <v>18124838</v>
      </c>
      <c r="G168">
        <f>Table1[[#This Row],[2022 People trained in First Aid]]/Table1[[#This Row],[population 2023]]*100</f>
        <v>3.2662360899446382E-3</v>
      </c>
      <c r="H168">
        <f>Table1[[#This Row],[2023 People trained in First Aid]]/Table1[[#This Row],[population 2023]]*100</f>
        <v>4.0662432403533759E-3</v>
      </c>
      <c r="I168">
        <f>Table1[[#This Row],[2024 People trained in First Aid]]/Table1[[#This Row],[population 2023]]*100</f>
        <v>1.1989072674746113E-2</v>
      </c>
      <c r="J168" s="3">
        <f>SUM(Table1[[#This Row],[2022 People trained in First Aid]],Table1[[#This Row],[2023 People trained in First Aid]],Table1[[#This Row],[2024 People trained in First Aid]])</f>
        <v>3502</v>
      </c>
      <c r="K168" s="3">
        <f>Table1[[#This Row],[sum TRAINED ]]/Table1[[#This Row],[population 2023]]*100</f>
        <v>1.9321552005044127E-2</v>
      </c>
    </row>
    <row r="169" spans="1:11" x14ac:dyDescent="0.35">
      <c r="A169" t="s">
        <v>11</v>
      </c>
      <c r="B169">
        <v>73</v>
      </c>
      <c r="C169">
        <v>6754</v>
      </c>
      <c r="D169">
        <v>600</v>
      </c>
      <c r="E169" t="s">
        <v>283</v>
      </c>
      <c r="F169">
        <v>41454761</v>
      </c>
      <c r="G169">
        <f>Table1[[#This Row],[2022 People trained in First Aid]]/Table1[[#This Row],[population 2023]]*100</f>
        <v>1.7609557560831191E-4</v>
      </c>
      <c r="H169">
        <f>Table1[[#This Row],[2023 People trained in First Aid]]/Table1[[#This Row],[population 2023]]*100</f>
        <v>1.6292459146007379E-2</v>
      </c>
      <c r="I169">
        <f>Table1[[#This Row],[2024 People trained in First Aid]]/Table1[[#This Row],[population 2023]]*100</f>
        <v>1.4473608954107828E-3</v>
      </c>
      <c r="J169" s="3">
        <f>SUM(Table1[[#This Row],[2022 People trained in First Aid]],Table1[[#This Row],[2023 People trained in First Aid]],Table1[[#This Row],[2024 People trained in First Aid]])</f>
        <v>7427</v>
      </c>
      <c r="K169" s="3">
        <f>Table1[[#This Row],[sum TRAINED ]]/Table1[[#This Row],[population 2023]]*100</f>
        <v>1.7915915617026473E-2</v>
      </c>
    </row>
    <row r="170" spans="1:11" x14ac:dyDescent="0.35">
      <c r="A170" t="s">
        <v>120</v>
      </c>
      <c r="B170">
        <v>6332</v>
      </c>
      <c r="C170">
        <v>34115</v>
      </c>
      <c r="E170" t="s">
        <v>334</v>
      </c>
      <c r="F170">
        <v>227882945</v>
      </c>
      <c r="G170">
        <f>Table1[[#This Row],[2022 People trained in First Aid]]/Table1[[#This Row],[population 2023]]*100</f>
        <v>2.778619523282008E-3</v>
      </c>
      <c r="H170">
        <f>Table1[[#This Row],[2023 People trained in First Aid]]/Table1[[#This Row],[population 2023]]*100</f>
        <v>1.4970405091087444E-2</v>
      </c>
      <c r="I170">
        <f>Table1[[#This Row],[2024 People trained in First Aid]]/Table1[[#This Row],[population 2023]]*100</f>
        <v>0</v>
      </c>
      <c r="J170" s="3">
        <f>SUM(Table1[[#This Row],[2022 People trained in First Aid]],Table1[[#This Row],[2023 People trained in First Aid]],Table1[[#This Row],[2024 People trained in First Aid]])</f>
        <v>40447</v>
      </c>
      <c r="K170" s="3">
        <f>Table1[[#This Row],[sum TRAINED ]]/Table1[[#This Row],[population 2023]]*100</f>
        <v>1.7749024614369453E-2</v>
      </c>
    </row>
    <row r="171" spans="1:11" x14ac:dyDescent="0.35">
      <c r="A171" t="s">
        <v>110</v>
      </c>
      <c r="C171">
        <v>13450</v>
      </c>
      <c r="D171">
        <v>8000</v>
      </c>
      <c r="E171" t="s">
        <v>311</v>
      </c>
      <c r="F171">
        <v>128691692</v>
      </c>
      <c r="G171">
        <f>Table1[[#This Row],[2022 People trained in First Aid]]/Table1[[#This Row],[population 2023]]*100</f>
        <v>0</v>
      </c>
      <c r="H171">
        <f>Table1[[#This Row],[2023 People trained in First Aid]]/Table1[[#This Row],[population 2023]]*100</f>
        <v>1.0451335118043208E-2</v>
      </c>
      <c r="I171">
        <f>Table1[[#This Row],[2024 People trained in First Aid]]/Table1[[#This Row],[population 2023]]*100</f>
        <v>6.2164075051558106E-3</v>
      </c>
      <c r="J171" s="3">
        <f>SUM(Table1[[#This Row],[2022 People trained in First Aid]],Table1[[#This Row],[2023 People trained in First Aid]],Table1[[#This Row],[2024 People trained in First Aid]])</f>
        <v>21450</v>
      </c>
      <c r="K171" s="3">
        <f>Table1[[#This Row],[sum TRAINED ]]/Table1[[#This Row],[population 2023]]*100</f>
        <v>1.6667742623199016E-2</v>
      </c>
    </row>
    <row r="172" spans="1:11" x14ac:dyDescent="0.35">
      <c r="A172" t="s">
        <v>80</v>
      </c>
      <c r="B172">
        <v>1535</v>
      </c>
      <c r="C172">
        <v>1874</v>
      </c>
      <c r="D172">
        <v>1672</v>
      </c>
      <c r="E172" t="s">
        <v>225</v>
      </c>
      <c r="F172">
        <v>33635160</v>
      </c>
      <c r="G172">
        <f>Table1[[#This Row],[2022 People trained in First Aid]]/Table1[[#This Row],[population 2023]]*100</f>
        <v>4.563676819138069E-3</v>
      </c>
      <c r="H172">
        <f>Table1[[#This Row],[2023 People trained in First Aid]]/Table1[[#This Row],[population 2023]]*100</f>
        <v>5.5715507225177468E-3</v>
      </c>
      <c r="I172">
        <f>Table1[[#This Row],[2024 People trained in First Aid]]/Table1[[#This Row],[population 2023]]*100</f>
        <v>4.9709886915953426E-3</v>
      </c>
      <c r="J172" s="3">
        <f>SUM(Table1[[#This Row],[2022 People trained in First Aid]],Table1[[#This Row],[2023 People trained in First Aid]],Table1[[#This Row],[2024 People trained in First Aid]])</f>
        <v>5081</v>
      </c>
      <c r="K172" s="3">
        <f>Table1[[#This Row],[sum TRAINED ]]/Table1[[#This Row],[population 2023]]*100</f>
        <v>1.5106216233251157E-2</v>
      </c>
    </row>
    <row r="173" spans="1:11" x14ac:dyDescent="0.35">
      <c r="A173" t="s">
        <v>7</v>
      </c>
      <c r="B173">
        <v>597</v>
      </c>
      <c r="C173">
        <v>1208</v>
      </c>
      <c r="D173">
        <v>3954</v>
      </c>
      <c r="E173" t="s">
        <v>183</v>
      </c>
      <c r="F173">
        <v>39390799</v>
      </c>
      <c r="G173">
        <f>Table1[[#This Row],[2022 People trained in First Aid]]/Table1[[#This Row],[population 2023]]*100</f>
        <v>1.5155823571895558E-3</v>
      </c>
      <c r="H173">
        <f>Table1[[#This Row],[2023 People trained in First Aid]]/Table1[[#This Row],[population 2023]]*100</f>
        <v>3.0667060091875776E-3</v>
      </c>
      <c r="I173">
        <f>Table1[[#This Row],[2024 People trained in First Aid]]/Table1[[#This Row],[population 2023]]*100</f>
        <v>1.0037877119476556E-2</v>
      </c>
      <c r="J173" s="3">
        <f>SUM(Table1[[#This Row],[2022 People trained in First Aid]],Table1[[#This Row],[2023 People trained in First Aid]],Table1[[#This Row],[2024 People trained in First Aid]])</f>
        <v>5759</v>
      </c>
      <c r="K173" s="3">
        <f>Table1[[#This Row],[sum TRAINED ]]/Table1[[#This Row],[population 2023]]*100</f>
        <v>1.4620165485853688E-2</v>
      </c>
    </row>
    <row r="174" spans="1:11" x14ac:dyDescent="0.35">
      <c r="A174" t="s">
        <v>175</v>
      </c>
      <c r="B174">
        <v>356</v>
      </c>
      <c r="C174">
        <v>887</v>
      </c>
      <c r="D174">
        <v>396</v>
      </c>
      <c r="E174" t="s">
        <v>321</v>
      </c>
      <c r="F174">
        <v>11439214</v>
      </c>
      <c r="G174">
        <f>Table1[[#This Row],[2022 People trained in First Aid]]/Table1[[#This Row],[population 2023]]*100</f>
        <v>3.1121019328775564E-3</v>
      </c>
      <c r="H174">
        <f>Table1[[#This Row],[2023 People trained in First Aid]]/Table1[[#This Row],[population 2023]]*100</f>
        <v>7.7540292541078432E-3</v>
      </c>
      <c r="I174">
        <f>Table1[[#This Row],[2024 People trained in First Aid]]/Table1[[#This Row],[population 2023]]*100</f>
        <v>3.4617763073581803E-3</v>
      </c>
      <c r="J174" s="3">
        <f>SUM(Table1[[#This Row],[2022 People trained in First Aid]],Table1[[#This Row],[2023 People trained in First Aid]],Table1[[#This Row],[2024 People trained in First Aid]])</f>
        <v>1639</v>
      </c>
      <c r="K174" s="3">
        <f>Table1[[#This Row],[sum TRAINED ]]/Table1[[#This Row],[population 2023]]*100</f>
        <v>1.4327907494343579E-2</v>
      </c>
    </row>
    <row r="175" spans="1:11" x14ac:dyDescent="0.35">
      <c r="A175" t="s">
        <v>14</v>
      </c>
      <c r="B175">
        <v>354</v>
      </c>
      <c r="C175">
        <v>354</v>
      </c>
      <c r="D175">
        <v>583</v>
      </c>
      <c r="E175" t="s">
        <v>187</v>
      </c>
      <c r="F175">
        <v>10389799</v>
      </c>
      <c r="G175">
        <f>Table1[[#This Row],[2022 People trained in First Aid]]/Table1[[#This Row],[population 2023]]*100</f>
        <v>3.4071881467581805E-3</v>
      </c>
      <c r="H175">
        <f>Table1[[#This Row],[2023 People trained in First Aid]]/Table1[[#This Row],[population 2023]]*100</f>
        <v>3.4071881467581805E-3</v>
      </c>
      <c r="I175">
        <f>Table1[[#This Row],[2024 People trained in First Aid]]/Table1[[#This Row],[population 2023]]*100</f>
        <v>5.6112731343503372E-3</v>
      </c>
      <c r="J175" s="3">
        <f>SUM(Table1[[#This Row],[2022 People trained in First Aid]],Table1[[#This Row],[2023 People trained in First Aid]],Table1[[#This Row],[2024 People trained in First Aid]])</f>
        <v>1291</v>
      </c>
      <c r="K175" s="3">
        <f>Table1[[#This Row],[sum TRAINED ]]/Table1[[#This Row],[population 2023]]*100</f>
        <v>1.2425649427866699E-2</v>
      </c>
    </row>
    <row r="176" spans="1:11" x14ac:dyDescent="0.35">
      <c r="A176" t="s">
        <v>142</v>
      </c>
      <c r="C176">
        <v>26</v>
      </c>
      <c r="D176">
        <v>0</v>
      </c>
      <c r="E176" t="s">
        <v>255</v>
      </c>
      <c r="F176">
        <v>230872</v>
      </c>
      <c r="G176">
        <f>Table1[[#This Row],[2022 People trained in First Aid]]/Table1[[#This Row],[population 2023]]*100</f>
        <v>0</v>
      </c>
      <c r="H176">
        <f>Table1[[#This Row],[2023 People trained in First Aid]]/Table1[[#This Row],[population 2023]]*100</f>
        <v>1.1261651477875187E-2</v>
      </c>
      <c r="I176">
        <f>Table1[[#This Row],[2024 People trained in First Aid]]/Table1[[#This Row],[population 2023]]*100</f>
        <v>0</v>
      </c>
      <c r="J176" s="3">
        <f>SUM(Table1[[#This Row],[2022 People trained in First Aid]],Table1[[#This Row],[2023 People trained in First Aid]],Table1[[#This Row],[2024 People trained in First Aid]])</f>
        <v>26</v>
      </c>
      <c r="K176" s="3">
        <f>Table1[[#This Row],[sum TRAINED ]]/Table1[[#This Row],[population 2023]]*100</f>
        <v>1.1261651477875187E-2</v>
      </c>
    </row>
    <row r="177" spans="1:11" x14ac:dyDescent="0.35">
      <c r="A177" t="s">
        <v>125</v>
      </c>
      <c r="B177">
        <v>732</v>
      </c>
      <c r="C177">
        <v>464</v>
      </c>
      <c r="D177">
        <v>600</v>
      </c>
      <c r="E177" t="s">
        <v>343</v>
      </c>
      <c r="F177">
        <v>18077574</v>
      </c>
      <c r="G177">
        <f>Table1[[#This Row],[2022 People trained in First Aid]]/Table1[[#This Row],[population 2023]]*100</f>
        <v>4.0492158958939954E-3</v>
      </c>
      <c r="H177">
        <f>Table1[[#This Row],[2023 People trained in First Aid]]/Table1[[#This Row],[population 2023]]*100</f>
        <v>2.5667160870147731E-3</v>
      </c>
      <c r="I177">
        <f>Table1[[#This Row],[2024 People trained in First Aid]]/Table1[[#This Row],[population 2023]]*100</f>
        <v>3.3190294228639308E-3</v>
      </c>
      <c r="J177" s="3">
        <f>SUM(Table1[[#This Row],[2022 People trained in First Aid]],Table1[[#This Row],[2023 People trained in First Aid]],Table1[[#This Row],[2024 People trained in First Aid]])</f>
        <v>1796</v>
      </c>
      <c r="K177" s="3">
        <f>Table1[[#This Row],[sum TRAINED ]]/Table1[[#This Row],[population 2023]]*100</f>
        <v>9.9349614057726993E-3</v>
      </c>
    </row>
    <row r="178" spans="1:11" x14ac:dyDescent="0.35">
      <c r="A178" t="s">
        <v>25</v>
      </c>
      <c r="B178">
        <v>218</v>
      </c>
      <c r="C178">
        <v>268</v>
      </c>
      <c r="D178">
        <v>1054</v>
      </c>
      <c r="E178" t="s">
        <v>196</v>
      </c>
      <c r="F178">
        <v>23769128</v>
      </c>
      <c r="G178">
        <f>Table1[[#This Row],[2022 People trained in First Aid]]/Table1[[#This Row],[population 2023]]*100</f>
        <v>9.1715606899840836E-4</v>
      </c>
      <c r="H178">
        <f>Table1[[#This Row],[2023 People trained in First Aid]]/Table1[[#This Row],[population 2023]]*100</f>
        <v>1.1275129655576764E-3</v>
      </c>
      <c r="I178">
        <f>Table1[[#This Row],[2024 People trained in First Aid]]/Table1[[#This Row],[population 2023]]*100</f>
        <v>4.4343233794693687E-3</v>
      </c>
      <c r="J178" s="3">
        <f>SUM(Table1[[#This Row],[2022 People trained in First Aid]],Table1[[#This Row],[2023 People trained in First Aid]],Table1[[#This Row],[2024 People trained in First Aid]])</f>
        <v>1540</v>
      </c>
      <c r="K178" s="3">
        <f>Table1[[#This Row],[sum TRAINED ]]/Table1[[#This Row],[population 2023]]*100</f>
        <v>6.4789924140254531E-3</v>
      </c>
    </row>
    <row r="179" spans="1:11" x14ac:dyDescent="0.35">
      <c r="A179" t="s">
        <v>71</v>
      </c>
      <c r="C179">
        <v>3734</v>
      </c>
      <c r="E179" t="s">
        <v>294</v>
      </c>
      <c r="F179">
        <v>211140729</v>
      </c>
      <c r="G179">
        <f>Table1[[#This Row],[2022 People trained in First Aid]]/Table1[[#This Row],[population 2023]]*100</f>
        <v>0</v>
      </c>
      <c r="H179">
        <f>Table1[[#This Row],[2023 People trained in First Aid]]/Table1[[#This Row],[population 2023]]*100</f>
        <v>1.7684887315132837E-3</v>
      </c>
      <c r="I179">
        <f>Table1[[#This Row],[2024 People trained in First Aid]]/Table1[[#This Row],[population 2023]]*100</f>
        <v>0</v>
      </c>
      <c r="J179" s="3">
        <f>SUM(Table1[[#This Row],[2022 People trained in First Aid]],Table1[[#This Row],[2023 People trained in First Aid]],Table1[[#This Row],[2024 People trained in First Aid]])</f>
        <v>3734</v>
      </c>
      <c r="K179" s="3">
        <f>Table1[[#This Row],[sum TRAINED ]]/Table1[[#This Row],[population 2023]]*100</f>
        <v>1.7684887315132837E-3</v>
      </c>
    </row>
    <row r="180" spans="1:11" x14ac:dyDescent="0.35">
      <c r="A180" t="s">
        <v>95</v>
      </c>
      <c r="B180">
        <v>321</v>
      </c>
      <c r="C180">
        <v>520</v>
      </c>
      <c r="D180">
        <v>100</v>
      </c>
      <c r="E180" t="s">
        <v>350</v>
      </c>
      <c r="F180">
        <v>66617607</v>
      </c>
      <c r="G180">
        <f>Table1[[#This Row],[2022 People trained in First Aid]]/Table1[[#This Row],[population 2023]]*100</f>
        <v>4.8185459438673627E-4</v>
      </c>
      <c r="H180">
        <f>Table1[[#This Row],[2023 People trained in First Aid]]/Table1[[#This Row],[population 2023]]*100</f>
        <v>7.8057442081340444E-4</v>
      </c>
      <c r="I180">
        <f>Table1[[#This Row],[2024 People trained in First Aid]]/Table1[[#This Row],[population 2023]]*100</f>
        <v>1.5011046554103932E-4</v>
      </c>
      <c r="J180" s="3">
        <f>SUM(Table1[[#This Row],[2022 People trained in First Aid]],Table1[[#This Row],[2023 People trained in First Aid]],Table1[[#This Row],[2024 People trained in First Aid]])</f>
        <v>941</v>
      </c>
      <c r="K180" s="3">
        <f>Table1[[#This Row],[sum TRAINED ]]/Table1[[#This Row],[population 2023]]*100</f>
        <v>1.4125394807411801E-3</v>
      </c>
    </row>
    <row r="181" spans="1:11" x14ac:dyDescent="0.35">
      <c r="A181" t="s">
        <v>30</v>
      </c>
      <c r="C181">
        <v>38</v>
      </c>
      <c r="D181">
        <v>90</v>
      </c>
      <c r="E181" t="s">
        <v>199</v>
      </c>
      <c r="F181">
        <v>36749906</v>
      </c>
      <c r="G181">
        <f>Table1[[#This Row],[2022 People trained in First Aid]]/Table1[[#This Row],[population 2023]]*100</f>
        <v>0</v>
      </c>
      <c r="H181">
        <f>Table1[[#This Row],[2023 People trained in First Aid]]/Table1[[#This Row],[population 2023]]*100</f>
        <v>1.034016250272858E-4</v>
      </c>
      <c r="I181">
        <f>Table1[[#This Row],[2024 People trained in First Aid]]/Table1[[#This Row],[population 2023]]*100</f>
        <v>2.4489858559094001E-4</v>
      </c>
      <c r="J181" s="3">
        <f>SUM(Table1[[#This Row],[2022 People trained in First Aid]],Table1[[#This Row],[2023 People trained in First Aid]],Table1[[#This Row],[2024 People trained in First Aid]])</f>
        <v>128</v>
      </c>
      <c r="K181" s="3">
        <f>Table1[[#This Row],[sum TRAINED ]]/Table1[[#This Row],[population 2023]]*100</f>
        <v>3.4830021061822578E-4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Marina Castro</cp:lastModifiedBy>
  <dcterms:created xsi:type="dcterms:W3CDTF">2026-04-09T11:59:17Z</dcterms:created>
  <dcterms:modified xsi:type="dcterms:W3CDTF">2026-04-14T09:05:26Z</dcterms:modified>
</cp:coreProperties>
</file>